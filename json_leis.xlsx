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422f0cc8238467/Documentos/Projetos/legislacao-municipal-de-marica/"/>
    </mc:Choice>
  </mc:AlternateContent>
  <xr:revisionPtr revIDLastSave="0" documentId="8_{7095D5D0-91DC-46B4-9918-04A3FC149AD9}" xr6:coauthVersionLast="47" xr6:coauthVersionMax="47" xr10:uidLastSave="{00000000-0000-0000-0000-000000000000}"/>
  <bookViews>
    <workbookView xWindow="-120" yWindow="-120" windowWidth="29040" windowHeight="15840" xr2:uid="{0024DFB7-3DE6-4564-BC4D-A735BE144A0C}"/>
  </bookViews>
  <sheets>
    <sheet name="Planilha1" sheetId="1" r:id="rId1"/>
    <sheet name="Planilha2" sheetId="2" r:id="rId2"/>
  </sheets>
  <definedNames>
    <definedName name="_xlnm._FilterDatabase" localSheetId="1" hidden="1">Planilha2!$A$1:$R$68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9" i="1"/>
  <c r="C60" i="1"/>
  <c r="C61" i="1"/>
  <c r="C62" i="1"/>
  <c r="C63" i="1"/>
  <c r="C64" i="1"/>
  <c r="C65" i="1"/>
  <c r="H58" i="1"/>
  <c r="H59" i="1"/>
  <c r="I59" i="1" s="1"/>
  <c r="H60" i="1"/>
  <c r="I60" i="1" s="1"/>
  <c r="H61" i="1"/>
  <c r="H62" i="1"/>
  <c r="H63" i="1"/>
  <c r="H64" i="1"/>
  <c r="H65" i="1"/>
  <c r="I58" i="1"/>
  <c r="I61" i="1"/>
  <c r="I62" i="1"/>
  <c r="I65" i="1"/>
  <c r="V65" i="1" s="1"/>
  <c r="M58" i="1"/>
  <c r="M59" i="1"/>
  <c r="M60" i="1"/>
  <c r="M61" i="1"/>
  <c r="M62" i="1"/>
  <c r="M63" i="1"/>
  <c r="M64" i="1"/>
  <c r="M65" i="1"/>
  <c r="N58" i="1"/>
  <c r="N59" i="1"/>
  <c r="N60" i="1"/>
  <c r="N61" i="1"/>
  <c r="N62" i="1"/>
  <c r="N63" i="1"/>
  <c r="N64" i="1"/>
  <c r="N65" i="1"/>
  <c r="U58" i="1"/>
  <c r="U59" i="1"/>
  <c r="U60" i="1"/>
  <c r="U61" i="1"/>
  <c r="U62" i="1"/>
  <c r="U63" i="1"/>
  <c r="U64" i="1"/>
  <c r="U65" i="1"/>
  <c r="C66" i="1"/>
  <c r="C67" i="1"/>
  <c r="C68" i="1"/>
  <c r="C69" i="1"/>
  <c r="H66" i="1"/>
  <c r="H67" i="1"/>
  <c r="H68" i="1"/>
  <c r="H69" i="1"/>
  <c r="I69" i="1" s="1"/>
  <c r="M66" i="1"/>
  <c r="M67" i="1"/>
  <c r="M68" i="1"/>
  <c r="M69" i="1"/>
  <c r="N66" i="1"/>
  <c r="N67" i="1"/>
  <c r="N68" i="1"/>
  <c r="N69" i="1"/>
  <c r="U66" i="1"/>
  <c r="U67" i="1"/>
  <c r="U68" i="1"/>
  <c r="U69" i="1"/>
  <c r="C70" i="1"/>
  <c r="C71" i="1"/>
  <c r="H70" i="1"/>
  <c r="H71" i="1"/>
  <c r="M70" i="1"/>
  <c r="M71" i="1"/>
  <c r="N70" i="1"/>
  <c r="N71" i="1"/>
  <c r="U70" i="1"/>
  <c r="U71" i="1"/>
  <c r="C72" i="1"/>
  <c r="H72" i="1"/>
  <c r="M72" i="1"/>
  <c r="N72" i="1"/>
  <c r="U72" i="1"/>
  <c r="H17" i="1"/>
  <c r="H18" i="1"/>
  <c r="C56" i="1"/>
  <c r="H56" i="1"/>
  <c r="M56" i="1"/>
  <c r="N56" i="1"/>
  <c r="U5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7" i="1"/>
  <c r="U73" i="1"/>
  <c r="N57" i="1"/>
  <c r="N73" i="1"/>
  <c r="M57" i="1"/>
  <c r="M73" i="1"/>
  <c r="N55" i="1"/>
  <c r="M5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7" i="1"/>
  <c r="H73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7" i="1"/>
  <c r="C73" i="1"/>
  <c r="U2" i="1"/>
  <c r="N1" i="2"/>
  <c r="O1" i="2"/>
  <c r="P1" i="2"/>
  <c r="Q1" i="2"/>
  <c r="R1" i="2"/>
  <c r="C2" i="1"/>
  <c r="H2" i="1"/>
  <c r="M2" i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3" i="1"/>
  <c r="C11" i="1"/>
  <c r="C12" i="1"/>
  <c r="C13" i="1"/>
  <c r="C14" i="1"/>
  <c r="C4" i="1"/>
  <c r="C5" i="1"/>
  <c r="C6" i="1"/>
  <c r="C7" i="1"/>
  <c r="C8" i="1"/>
  <c r="C9" i="1"/>
  <c r="C10" i="1"/>
  <c r="B1" i="2"/>
  <c r="C1" i="2"/>
  <c r="E1" i="2"/>
  <c r="F1" i="2"/>
  <c r="G1" i="2"/>
  <c r="H1" i="2"/>
  <c r="I1" i="2"/>
  <c r="J1" i="2"/>
  <c r="K1" i="2"/>
  <c r="L1" i="2"/>
  <c r="C3" i="1"/>
  <c r="A1" i="2"/>
  <c r="X61" i="1" l="1"/>
  <c r="V61" i="1"/>
  <c r="X62" i="1"/>
  <c r="V62" i="1"/>
  <c r="X65" i="1"/>
  <c r="X58" i="1"/>
  <c r="V59" i="1"/>
  <c r="X59" i="1"/>
  <c r="V58" i="1"/>
  <c r="V60" i="1"/>
  <c r="X60" i="1"/>
  <c r="I71" i="1"/>
  <c r="V71" i="1" s="1"/>
  <c r="I64" i="1"/>
  <c r="I63" i="1"/>
  <c r="X69" i="1"/>
  <c r="V69" i="1"/>
  <c r="I68" i="1"/>
  <c r="I67" i="1"/>
  <c r="I66" i="1"/>
  <c r="I70" i="1"/>
  <c r="V70" i="1" s="1"/>
  <c r="I47" i="1"/>
  <c r="V47" i="1" s="1"/>
  <c r="I31" i="1"/>
  <c r="X31" i="1" s="1"/>
  <c r="I72" i="1"/>
  <c r="V72" i="1" s="1"/>
  <c r="I4" i="1"/>
  <c r="V4" i="1" s="1"/>
  <c r="I14" i="1"/>
  <c r="V14" i="1" s="1"/>
  <c r="I52" i="1"/>
  <c r="V52" i="1" s="1"/>
  <c r="I36" i="1"/>
  <c r="V36" i="1" s="1"/>
  <c r="I20" i="1"/>
  <c r="V20" i="1" s="1"/>
  <c r="I18" i="1"/>
  <c r="X18" i="1" s="1"/>
  <c r="I34" i="1"/>
  <c r="X34" i="1" s="1"/>
  <c r="I49" i="1"/>
  <c r="V49" i="1" s="1"/>
  <c r="I33" i="1"/>
  <c r="V33" i="1" s="1"/>
  <c r="I50" i="1"/>
  <c r="V50" i="1" s="1"/>
  <c r="I17" i="1"/>
  <c r="V17" i="1" s="1"/>
  <c r="I2" i="1"/>
  <c r="X2" i="1" s="1"/>
  <c r="I45" i="1"/>
  <c r="X45" i="1" s="1"/>
  <c r="I29" i="1"/>
  <c r="X29" i="1" s="1"/>
  <c r="I13" i="1"/>
  <c r="V13" i="1" s="1"/>
  <c r="I43" i="1"/>
  <c r="V43" i="1" s="1"/>
  <c r="I28" i="1"/>
  <c r="X28" i="1" s="1"/>
  <c r="I12" i="1"/>
  <c r="X12" i="1" s="1"/>
  <c r="I44" i="1"/>
  <c r="V44" i="1" s="1"/>
  <c r="I42" i="1"/>
  <c r="V42" i="1" s="1"/>
  <c r="I26" i="1"/>
  <c r="X26" i="1" s="1"/>
  <c r="I10" i="1"/>
  <c r="V10" i="1" s="1"/>
  <c r="I73" i="1"/>
  <c r="X73" i="1" s="1"/>
  <c r="I41" i="1"/>
  <c r="X41" i="1" s="1"/>
  <c r="I25" i="1"/>
  <c r="V25" i="1" s="1"/>
  <c r="I9" i="1"/>
  <c r="X9" i="1" s="1"/>
  <c r="I40" i="1"/>
  <c r="V40" i="1" s="1"/>
  <c r="I27" i="1"/>
  <c r="V27" i="1" s="1"/>
  <c r="I55" i="1"/>
  <c r="V55" i="1" s="1"/>
  <c r="I39" i="1"/>
  <c r="V39" i="1" s="1"/>
  <c r="I23" i="1"/>
  <c r="X23" i="1" s="1"/>
  <c r="I7" i="1"/>
  <c r="V7" i="1" s="1"/>
  <c r="I24" i="1"/>
  <c r="X24" i="1" s="1"/>
  <c r="I54" i="1"/>
  <c r="X54" i="1" s="1"/>
  <c r="I38" i="1"/>
  <c r="X38" i="1" s="1"/>
  <c r="I22" i="1"/>
  <c r="V22" i="1" s="1"/>
  <c r="I6" i="1"/>
  <c r="V6" i="1" s="1"/>
  <c r="I57" i="1"/>
  <c r="X57" i="1" s="1"/>
  <c r="I8" i="1"/>
  <c r="V8" i="1" s="1"/>
  <c r="I53" i="1"/>
  <c r="V53" i="1" s="1"/>
  <c r="I37" i="1"/>
  <c r="X37" i="1" s="1"/>
  <c r="I21" i="1"/>
  <c r="V21" i="1" s="1"/>
  <c r="I5" i="1"/>
  <c r="X5" i="1" s="1"/>
  <c r="I15" i="1"/>
  <c r="V15" i="1" s="1"/>
  <c r="I51" i="1"/>
  <c r="X51" i="1" s="1"/>
  <c r="I35" i="1"/>
  <c r="X35" i="1" s="1"/>
  <c r="I19" i="1"/>
  <c r="V19" i="1" s="1"/>
  <c r="I3" i="1"/>
  <c r="V3" i="1" s="1"/>
  <c r="I11" i="1"/>
  <c r="V11" i="1" s="1"/>
  <c r="I56" i="1"/>
  <c r="X56" i="1" s="1"/>
  <c r="I48" i="1"/>
  <c r="X48" i="1" s="1"/>
  <c r="I32" i="1"/>
  <c r="V32" i="1" s="1"/>
  <c r="I16" i="1"/>
  <c r="V16" i="1" s="1"/>
  <c r="V45" i="1"/>
  <c r="I46" i="1"/>
  <c r="I30" i="1"/>
  <c r="V30" i="1" s="1"/>
  <c r="V26" i="1"/>
  <c r="X47" i="1"/>
  <c r="X52" i="1"/>
  <c r="X36" i="1"/>
  <c r="X19" i="1" l="1"/>
  <c r="V23" i="1"/>
  <c r="X3" i="1"/>
  <c r="V31" i="1"/>
  <c r="X10" i="1"/>
  <c r="X72" i="1"/>
  <c r="X33" i="1"/>
  <c r="X6" i="1"/>
  <c r="X21" i="1"/>
  <c r="V9" i="1"/>
  <c r="V34" i="1"/>
  <c r="X50" i="1"/>
  <c r="X17" i="1"/>
  <c r="V28" i="1"/>
  <c r="X71" i="1"/>
  <c r="V24" i="1"/>
  <c r="X44" i="1"/>
  <c r="V63" i="1"/>
  <c r="X63" i="1"/>
  <c r="V64" i="1"/>
  <c r="X64" i="1"/>
  <c r="X7" i="1"/>
  <c r="X14" i="1"/>
  <c r="X4" i="1"/>
  <c r="X70" i="1"/>
  <c r="V54" i="1"/>
  <c r="X30" i="1"/>
  <c r="V12" i="1"/>
  <c r="V66" i="1"/>
  <c r="X66" i="1"/>
  <c r="V67" i="1"/>
  <c r="X67" i="1"/>
  <c r="X68" i="1"/>
  <c r="V68" i="1"/>
  <c r="X11" i="1"/>
  <c r="X8" i="1"/>
  <c r="X20" i="1"/>
  <c r="X22" i="1"/>
  <c r="X16" i="1"/>
  <c r="V18" i="1"/>
  <c r="V38" i="1"/>
  <c r="X42" i="1"/>
  <c r="V73" i="1"/>
  <c r="X32" i="1"/>
  <c r="V29" i="1"/>
  <c r="V37" i="1"/>
  <c r="X25" i="1"/>
  <c r="V48" i="1"/>
  <c r="X53" i="1"/>
  <c r="X49" i="1"/>
  <c r="X13" i="1"/>
  <c r="V57" i="1"/>
  <c r="V56" i="1"/>
  <c r="X55" i="1"/>
  <c r="X39" i="1"/>
  <c r="V41" i="1"/>
  <c r="X40" i="1"/>
  <c r="V5" i="1"/>
  <c r="X15" i="1"/>
  <c r="V35" i="1"/>
  <c r="X27" i="1"/>
  <c r="X43" i="1"/>
  <c r="V51" i="1"/>
  <c r="V46" i="1"/>
  <c r="X46" i="1"/>
  <c r="V2" i="1"/>
</calcChain>
</file>

<file path=xl/sharedStrings.xml><?xml version="1.0" encoding="utf-8"?>
<sst xmlns="http://schemas.openxmlformats.org/spreadsheetml/2006/main" count="550" uniqueCount="204">
  <si>
    <t>Lei Ordinária</t>
  </si>
  <si>
    <t>Lei Complementar</t>
  </si>
  <si>
    <t>Revogada</t>
  </si>
  <si>
    <t>cod_norma</t>
  </si>
  <si>
    <t xml:space="preserve">Decreto </t>
  </si>
  <si>
    <t>tipo_norma</t>
  </si>
  <si>
    <t>data_assinatura</t>
  </si>
  <si>
    <t>ementa</t>
  </si>
  <si>
    <t>titulo</t>
  </si>
  <si>
    <t>status</t>
  </si>
  <si>
    <t>id</t>
  </si>
  <si>
    <t>autor</t>
  </si>
  <si>
    <t>categoria</t>
  </si>
  <si>
    <t>subcategoria</t>
  </si>
  <si>
    <t>palavra-chave</t>
  </si>
  <si>
    <t>fonte_publicacao</t>
  </si>
  <si>
    <t>ano</t>
  </si>
  <si>
    <t>link_publicacao</t>
  </si>
  <si>
    <t>num_norma</t>
  </si>
  <si>
    <t>Portaria</t>
  </si>
  <si>
    <t>Resolução da Camara</t>
  </si>
  <si>
    <t>Resolução</t>
  </si>
  <si>
    <t>1977-1982</t>
  </si>
  <si>
    <t>1983-1988</t>
  </si>
  <si>
    <t>1989-1992</t>
  </si>
  <si>
    <t>1993-1996</t>
  </si>
  <si>
    <t>1997-2000</t>
  </si>
  <si>
    <t>2001-2004</t>
  </si>
  <si>
    <t>2005-2008</t>
  </si>
  <si>
    <t>2009-2012</t>
  </si>
  <si>
    <t>2013-2016</t>
  </si>
  <si>
    <t>2017-2020</t>
  </si>
  <si>
    <t>2021-2024</t>
  </si>
  <si>
    <t>2025-2028</t>
  </si>
  <si>
    <t>legisltura</t>
  </si>
  <si>
    <t>Instrução Normativa</t>
  </si>
  <si>
    <t>Emenda à Lei Orgânica</t>
  </si>
  <si>
    <t>EMENDA À LEI ORGÂNICA DO MUNICÍPIO DE MARICÁ Nº 001, DE 10 DE OUTUBRO DE 1990.</t>
  </si>
  <si>
    <t>Executivo</t>
  </si>
  <si>
    <t>Legislativo</t>
  </si>
  <si>
    <t>Em vigor</t>
  </si>
  <si>
    <t>Revogada Tacitamente</t>
  </si>
  <si>
    <t>Suspensa</t>
  </si>
  <si>
    <t>Caduca</t>
  </si>
  <si>
    <t>Anulada</t>
  </si>
  <si>
    <t>Desestatização</t>
  </si>
  <si>
    <t>Administração Pública</t>
  </si>
  <si>
    <t>Agentes Públicos</t>
  </si>
  <si>
    <t>Agentes Políticos</t>
  </si>
  <si>
    <t>Licitação e Contratos</t>
  </si>
  <si>
    <t>Organização Administrativa</t>
  </si>
  <si>
    <t>Administração Pública Direta</t>
  </si>
  <si>
    <t>Administração Pública Indireta</t>
  </si>
  <si>
    <t>Cargos e Funções Públicos</t>
  </si>
  <si>
    <t>Servidor Público</t>
  </si>
  <si>
    <t>Empregado Público</t>
  </si>
  <si>
    <t>Regime Disciplinar</t>
  </si>
  <si>
    <t>Normas e Procedimentos de Compras e Contratos</t>
  </si>
  <si>
    <t>Política Social</t>
  </si>
  <si>
    <t>Serviços Públicos</t>
  </si>
  <si>
    <t>Regulamentação e Fiscalização de Serviços</t>
  </si>
  <si>
    <t>Concessão, Permissão e Autorização de Serviços</t>
  </si>
  <si>
    <t>Domínio e Bens Públicos</t>
  </si>
  <si>
    <t>Patrimônio Cultural e Histórico</t>
  </si>
  <si>
    <t>Uso e Destinação de Bens Públicos</t>
  </si>
  <si>
    <t>Terceiro Setor, Parcerias Público-Privadas e Desestatização</t>
  </si>
  <si>
    <t>Finanças e Economia</t>
  </si>
  <si>
    <t>Orçamento e Planejamento Municipal</t>
  </si>
  <si>
    <t>Plano Plurianual (PPA)</t>
  </si>
  <si>
    <t>Lei de Diretrizes Orçamentárias (LDO)</t>
  </si>
  <si>
    <t>Lei Orçamentária Anual (LOA)</t>
  </si>
  <si>
    <t>Tributos</t>
  </si>
  <si>
    <t>Imposto sobre a Propriedade Predial e Territorial Urbana (IPTU)</t>
  </si>
  <si>
    <t>Imposto sobre Serviços de Qualquer Natureza (ISSQN)</t>
  </si>
  <si>
    <t>Imposto sobre a Transmissão de Bens Imóveis (ITBI)</t>
  </si>
  <si>
    <t>Taxas e Contribuições</t>
  </si>
  <si>
    <t>Desenvolvimento Econômico</t>
  </si>
  <si>
    <t>Fomento a Micro e Pequenas Empresas</t>
  </si>
  <si>
    <t>Incentivos Fiscais e Programas de Desenvolvimento</t>
  </si>
  <si>
    <t>Turismo Local e Regional</t>
  </si>
  <si>
    <t>Finanças e Crédito Público</t>
  </si>
  <si>
    <t>Dívida Pública e Operações de Crédito</t>
  </si>
  <si>
    <t>Fundos Municipais</t>
  </si>
  <si>
    <t>Desenvolvimento Urbano e Infraestrutura</t>
  </si>
  <si>
    <t>Planejamento Urbano</t>
  </si>
  <si>
    <t>Plano Diretor Municipal</t>
  </si>
  <si>
    <t>Zoneamento, Parcelamento, Uso e Ocupação do Solo</t>
  </si>
  <si>
    <t>Código de Obras</t>
  </si>
  <si>
    <t>Infraestrutura e Serviços</t>
  </si>
  <si>
    <t>Saneamento Básico</t>
  </si>
  <si>
    <t>Resíduos Sólidos e Limpeza Urbana</t>
  </si>
  <si>
    <t>Energia e Iluminação Pública</t>
  </si>
  <si>
    <t>Mobilidade Urbana</t>
  </si>
  <si>
    <t>Transporte Público e Alternativo</t>
  </si>
  <si>
    <t>Trânsito e Vias Municipais</t>
  </si>
  <si>
    <t>Habitação</t>
  </si>
  <si>
    <t>Programas Habitacionais e de Regularização Fundiária</t>
  </si>
  <si>
    <t>Saúde</t>
  </si>
  <si>
    <t>Sistema Único de Saúde (SUS) e Rede de Atendimento Local</t>
  </si>
  <si>
    <t>Vigilância Sanitária e Saúde Pública</t>
  </si>
  <si>
    <t>Educação</t>
  </si>
  <si>
    <t>Educação Básica e Creches</t>
  </si>
  <si>
    <t>Ensino e Programas Suplementares</t>
  </si>
  <si>
    <t>Assistência Social</t>
  </si>
  <si>
    <t>Proteção Social</t>
  </si>
  <si>
    <t>Calamidade Pública e Emergência Social</t>
  </si>
  <si>
    <t>Crianças e Adolescentes</t>
  </si>
  <si>
    <t>Desenvolvimento Social e Combate à Fome</t>
  </si>
  <si>
    <t>Direitos Humanos e Minorias</t>
  </si>
  <si>
    <t>Idosos</t>
  </si>
  <si>
    <t>Mulheres</t>
  </si>
  <si>
    <t>Pessoas com Deficiência</t>
  </si>
  <si>
    <t>População Indígena</t>
  </si>
  <si>
    <t>Cultura, Esporte e Lazer</t>
  </si>
  <si>
    <t>Cultura</t>
  </si>
  <si>
    <t>Esportes e Lazer</t>
  </si>
  <si>
    <t>Meio Ambiente e Sustentabilidade</t>
  </si>
  <si>
    <t>Proteção Ambiental</t>
  </si>
  <si>
    <t>Licenciamento e Fiscalização Ambiental</t>
  </si>
  <si>
    <t>Áreas de Preservação e Proteção</t>
  </si>
  <si>
    <t>Recursos Hídricos</t>
  </si>
  <si>
    <t>Fauna e Flora</t>
  </si>
  <si>
    <t>Proteção aos Animais e Bem-Estar Animal</t>
  </si>
  <si>
    <t>Vegetação Nativa</t>
  </si>
  <si>
    <t>Organização e Normas Gerais</t>
  </si>
  <si>
    <t>Lei Orgânica e Regimento Interno</t>
  </si>
  <si>
    <t>Lei Orgânica</t>
  </si>
  <si>
    <t>Regimento Interno</t>
  </si>
  <si>
    <t>Processo Legislativo</t>
  </si>
  <si>
    <t>Criação, Alteração e Consolidação de Leis Municipais</t>
  </si>
  <si>
    <t>Símbolos e Honrarias</t>
  </si>
  <si>
    <t>Datas Comemorativas e Feriados</t>
  </si>
  <si>
    <t>Títulos Honoríficos</t>
  </si>
  <si>
    <t>Terceiro Setor</t>
  </si>
  <si>
    <t>Parcerias Público-Privadas (PPP)</t>
  </si>
  <si>
    <t>Denominação de Logradouros</t>
  </si>
  <si>
    <t>Organização Territorial</t>
  </si>
  <si>
    <t>tema</t>
  </si>
  <si>
    <t>data_publicação</t>
  </si>
  <si>
    <t>edicao_publicacao</t>
  </si>
  <si>
    <t>pagina_publicacao</t>
  </si>
  <si>
    <t>link_consolidado</t>
  </si>
  <si>
    <t>link_compilado</t>
  </si>
  <si>
    <t>LOM</t>
  </si>
  <si>
    <t>DEC</t>
  </si>
  <si>
    <t>ELO</t>
  </si>
  <si>
    <t>LEI</t>
  </si>
  <si>
    <t>PTR</t>
  </si>
  <si>
    <t>RES</t>
  </si>
  <si>
    <t>RCV</t>
  </si>
  <si>
    <t>LEI ORGÂNICA DO MUNICÍPIO DE MARICÁ, DE 10 DE OUTUBRO DE 1990.</t>
  </si>
  <si>
    <t>obs</t>
  </si>
  <si>
    <t>INN</t>
  </si>
  <si>
    <t>LCM</t>
  </si>
  <si>
    <t>EMENDA À LEI ORGÂNICA DO MUNICÍPIO DE MARICÁ, Nº 002 DE 02 DE ABRIL DE 1991.</t>
  </si>
  <si>
    <t>EMENDA À LEI ORGÂNICA DO MUNICÍPIO DE MARICÁ, Nº 003 DE 05 DE MARÇO DE 1992.</t>
  </si>
  <si>
    <t>EMENDA À LEI ORGÂNICA DO MUNICÍPIO DE MARICÁ, Nº 004 DE 30 DE SETEMBRO DE 1993.</t>
  </si>
  <si>
    <t>EMENDA À LEI ORGÂNICA DO MUNICÍPIO DE MARICÁ, Nº 005 DE 16 DE DEZEMBRO DE 1993.</t>
  </si>
  <si>
    <t>Sim</t>
  </si>
  <si>
    <t>Não</t>
  </si>
  <si>
    <t>Transparência</t>
  </si>
  <si>
    <t>Proteção de Dados</t>
  </si>
  <si>
    <t>Transparência e Governança</t>
  </si>
  <si>
    <t>pasta</t>
  </si>
  <si>
    <t>decreto</t>
  </si>
  <si>
    <t>lei-complementar</t>
  </si>
  <si>
    <t>lei-ordinaria</t>
  </si>
  <si>
    <t>portaria</t>
  </si>
  <si>
    <t>resolucao</t>
  </si>
  <si>
    <t>resolucao-camara</t>
  </si>
  <si>
    <t>lei-organica</t>
  </si>
  <si>
    <t>JOM</t>
  </si>
  <si>
    <t>JOM Especial</t>
  </si>
  <si>
    <t>Jornal da Região</t>
  </si>
  <si>
    <t>portal_compi</t>
  </si>
  <si>
    <t>portal_conso</t>
  </si>
  <si>
    <t>instrucao-normativa</t>
  </si>
  <si>
    <t>LEI Nº  2.641 DE 11 DE DEZEMBRO DE 2015.</t>
  </si>
  <si>
    <t>Institui o Programa de Renda Básica de Cidadania – RBC no Município de Maricá.</t>
  </si>
  <si>
    <t>RBC, Renda Básica</t>
  </si>
  <si>
    <t>EMENDA À LEI ORGÂNICA DO MUNICÍPIO DE MARICÁ, Nº 015 DE 29 DE SETEMBRO DE 1999.</t>
  </si>
  <si>
    <t>Dispõe sobre a revogação do artigo 15 e o seu parágrafo único do Ato das Disposições Transitórias da Lei Orgânica de Maricá.</t>
  </si>
  <si>
    <t>LEI Nº 13, DE 13 DE OUTUBRO DE 1977.</t>
  </si>
  <si>
    <t>Utilidade Pública</t>
  </si>
  <si>
    <t>Art. 1º Ficam criados dois (02) cargos de Despachante Oficial junto a Prefeitura Municipal, sem ônus para o Município.</t>
  </si>
  <si>
    <t>Despachante</t>
  </si>
  <si>
    <t>Art. 1º  Fica considerado de Utilidade Pública, o IPIRANGA MALHA CLUBE.</t>
  </si>
  <si>
    <t>LEI Nº 06 DE 30 DE AGOSTO DE 1977.</t>
  </si>
  <si>
    <t>LEI Nº 05 DE 30 DE AGOSTO DE 1977.</t>
  </si>
  <si>
    <t>Nome de Rua</t>
  </si>
  <si>
    <t>LEI Nº 04 DE 18 DE JULHO DE 1977.</t>
  </si>
  <si>
    <t>Art. 1º Ficam ratificados os termos do Convênio firmado entre a Prefeitura Municipal de Maricá–RJ e o Ministério da Aeronáutica, através do Departamento de Aviação Civil, para execução de obras e administração no campo de pouso do Aeroclube da cidade de Maricá.</t>
  </si>
  <si>
    <t>Obras</t>
  </si>
  <si>
    <t>Aeroporto</t>
  </si>
  <si>
    <t>LEI Nº 07 DE 30 DE AGOSTO DE 1977.</t>
  </si>
  <si>
    <t>Art. 1º Fica o Poder Executivo Municipal autorizado a abrir, por Decreto, Crédito Especial na importância de Cr$ 564.246,40 – (quinhentos e sessenta e quatro mil, duzentos e quarenta e seis cruzeiros e quarenta centavos), Para atender as despesas de Obras Públicas, com a construção da Ponte sobre o Canal do Boqueirão.</t>
  </si>
  <si>
    <t>Crédito Adicional</t>
  </si>
  <si>
    <t>Crédito Especial</t>
  </si>
  <si>
    <t>Crédito Extraordinário</t>
  </si>
  <si>
    <t>Crédito Suplementar</t>
  </si>
  <si>
    <t>Art. 1º Fica denominada ALFREDO JOSE MARINS A denominada Rua 20, a que se inicia na rua 11 e termina na Rua 07, bairro da Praia de Araçatiba, 1º distrito deste Município.</t>
  </si>
  <si>
    <t>LEI Nº 08  DE 23 DE AGOSTO DE 1977.</t>
  </si>
  <si>
    <t>Cria exigência de arborização para as áreas destinadas a logradouro / públicas dos novos loteamentos e dá outras previdências.</t>
  </si>
  <si>
    <t>Arborização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</si>
</sst>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8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1"/>
      <name val="Aptos Narrow"/>
      <family val="2"/>
    </font>
    <font>
      <sz val="11"/>
      <color rgb="FF1F1F1F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14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</cellXfs>
  <cellStyles count="2">
    <cellStyle name="Hiperlink" xfId="1" builtinId="8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40045-5CFF-487F-975E-9EEC97564A6C}" name="Tabela1" displayName="Tabela1" ref="A1:Z73" totalsRowShown="0" headerRowDxfId="26">
  <autoFilter ref="A1:Z73" xr:uid="{EE940045-5CFF-487F-975E-9EEC97564A6C}"/>
  <tableColumns count="26">
    <tableColumn id="1" xr3:uid="{210B8830-FB3C-4470-85EC-4D63FC6C519A}" name="id" dataDxfId="25"/>
    <tableColumn id="2" xr3:uid="{754C87AB-1E5A-4564-941F-74F835A7BEFB}" name="tipo_norma" dataDxfId="24"/>
    <tableColumn id="3" xr3:uid="{25C38CAF-63E4-4DD8-A2A5-95871423D2EF}" name="cod_norma" dataDxfId="23">
      <calculatedColumnFormula>VLOOKUP(B2,Planilha2!$B$2:$C$100,2,FALSE)</calculatedColumnFormula>
    </tableColumn>
    <tableColumn id="4" xr3:uid="{0476FB68-6B48-487B-9130-FDC7826EBC6B}" name="num_norma" dataDxfId="22"/>
    <tableColumn id="5" xr3:uid="{66B2B2A3-9225-48E8-9AA7-C65920EF8360}" name="data_assinatura" dataDxfId="21"/>
    <tableColumn id="6" xr3:uid="{CD9BA0FF-CA9A-4F5E-BFD8-2A3D0A88C6AE}" name="titulo" dataDxfId="20"/>
    <tableColumn id="7" xr3:uid="{2B39483D-4EA4-4880-813B-D75C2A2573DF}" name="ementa" dataDxfId="19"/>
    <tableColumn id="8" xr3:uid="{440BD256-FFFA-4168-B592-66E71D3755B6}" name="ano" dataDxfId="18">
      <calculatedColumnFormula>YEAR(E2)</calculatedColumnFormula>
    </tableColumn>
    <tableColumn id="9" xr3:uid="{C97C1ADB-94B0-4351-A209-DD656BDD6B98}" name="legisltura" dataDxfId="17">
      <calculatedColumnFormula>VLOOKUP(H2,Planilha2!$E$1:$F$100,2,FALSE)</calculatedColumnFormula>
    </tableColumn>
    <tableColumn id="10" xr3:uid="{7FE5AE8F-817F-44FB-9E0E-19A130B8BD3C}" name="status" dataDxfId="16"/>
    <tableColumn id="11" xr3:uid="{1E680C52-6E09-48CC-A22D-72B879144DBF}" name="autor" dataDxfId="15"/>
    <tableColumn id="12" xr3:uid="{A3608B76-3358-4DCC-BBF9-1161FD453DEC}" name="subcategoria" dataDxfId="14"/>
    <tableColumn id="13" xr3:uid="{9F73165B-A7CE-4B7A-938A-AE206BE959DB}" name="categoria" dataDxfId="13">
      <calculatedColumnFormula>VLOOKUP(L2,Planilha2!$I$2:$K$100,2,FALSE)</calculatedColumnFormula>
    </tableColumn>
    <tableColumn id="14" xr3:uid="{598AF808-E60C-45E1-AB5A-A2E0B62095FB}" name="tema" dataDxfId="12">
      <calculatedColumnFormula>VLOOKUP(L2,Planilha2!$I$2:$K$100,3,FALSE)</calculatedColumnFormula>
    </tableColumn>
    <tableColumn id="15" xr3:uid="{409C6C11-E521-4FC4-A3AA-134A31BEEB27}" name="palavra-chave" dataDxfId="11"/>
    <tableColumn id="16" xr3:uid="{6872C9B8-B521-4B22-8862-23B35B661168}" name="fonte_publicacao" dataDxfId="10"/>
    <tableColumn id="17" xr3:uid="{D214A659-0324-43BC-A0F6-F2646362F184}" name="data_publicação" dataDxfId="9"/>
    <tableColumn id="18" xr3:uid="{D2D3F91F-A16B-4420-9C2D-E24133AC8E08}" name="edicao_publicacao" dataDxfId="8"/>
    <tableColumn id="19" xr3:uid="{D66EA8D1-A29A-42AF-9D35-636B88195AE0}" name="pagina_publicacao" dataDxfId="7"/>
    <tableColumn id="20" xr3:uid="{AB7CE0CE-80DA-4334-9114-B1CAA0C481BA}" name="link_publicacao" dataDxfId="6"/>
    <tableColumn id="21" xr3:uid="{2373D133-6D5C-40BB-A15B-65B7119AF1FB}" name="pasta" dataDxfId="5">
      <calculatedColumnFormula>VLOOKUP(B2,Planilha2!$B$2:$D$100,3,FALSE)</calculatedColumnFormula>
    </tableColumn>
    <tableColumn id="22" xr3:uid="{DF1A2C84-4ED1-41B5-AAAF-7D03391C80EB}" name="link_consolidado" dataDxfId="4" dataCellStyle="Hiperlink">
      <calculatedColumnFormula>"/legislatura/" &amp; I2 &amp; "/" &amp; H2 &amp; "/" &amp; U2 &amp; "/" &amp; C2 &amp; "-" &amp; TEXT(D2,"00000") &amp; "-" &amp; H2 &amp; ".md"</calculatedColumnFormula>
    </tableColumn>
    <tableColumn id="26" xr3:uid="{2B405E6F-484E-4C88-9F6F-D6EF0A66178F}" name="portal_compi" dataDxfId="3" dataCellStyle="Hiperlink"/>
    <tableColumn id="23" xr3:uid="{6FBA3EB1-80B9-414D-A6A1-DEAFD3BEFD3F}" name="link_compilado" dataDxfId="2" dataCellStyle="Hiperlink">
      <calculatedColumnFormula>"/legislatura/" &amp; I2 &amp; "/" &amp; H2 &amp; "/" &amp; U2 &amp; "/" &amp; C2 &amp; "-" &amp; TEXT(D2,"00000") &amp; "-" &amp; H2 &amp; "c.md"</calculatedColumnFormula>
    </tableColumn>
    <tableColumn id="24" xr3:uid="{6384524F-8124-4213-875D-B4844E75EAAA}" name="portal_conso" dataDxfId="1"/>
    <tableColumn id="25" xr3:uid="{4508E3CA-2F2D-4EDE-96AB-0973CB03E0BF}" name="ob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1864-B6E2-4A5B-B98C-332470362C76}">
  <dimension ref="A1:Z73"/>
  <sheetViews>
    <sheetView tabSelected="1" topLeftCell="G1" zoomScaleNormal="100" workbookViewId="0">
      <pane ySplit="1" topLeftCell="A43" activePane="bottomLeft" state="frozen"/>
      <selection activeCell="M1" sqref="M1"/>
      <selection pane="bottomLeft" activeCell="O62" sqref="O62"/>
    </sheetView>
  </sheetViews>
  <sheetFormatPr defaultColWidth="172" defaultRowHeight="14.25" x14ac:dyDescent="0.25"/>
  <cols>
    <col min="1" max="1" width="5" style="5" customWidth="1"/>
    <col min="2" max="2" width="23.42578125" style="5" bestFit="1" customWidth="1"/>
    <col min="3" max="3" width="14.28515625" style="5" customWidth="1"/>
    <col min="4" max="4" width="12.7109375" style="20" bestFit="1" customWidth="1"/>
    <col min="5" max="5" width="19" style="8" customWidth="1"/>
    <col min="6" max="6" width="95.140625" style="5" bestFit="1" customWidth="1"/>
    <col min="7" max="7" width="80.28515625" style="2" customWidth="1"/>
    <col min="8" max="8" width="9.85546875" style="8" bestFit="1" customWidth="1"/>
    <col min="9" max="9" width="12.5703125" style="8" customWidth="1"/>
    <col min="10" max="10" width="14" style="5" customWidth="1"/>
    <col min="11" max="11" width="10" style="5" bestFit="1" customWidth="1"/>
    <col min="12" max="12" width="44.5703125" style="5" customWidth="1"/>
    <col min="13" max="13" width="32.85546875" style="5" bestFit="1" customWidth="1"/>
    <col min="14" max="14" width="30.140625" style="5" bestFit="1" customWidth="1"/>
    <col min="15" max="15" width="20.140625" style="5" bestFit="1" customWidth="1"/>
    <col min="16" max="16" width="20.42578125" style="5" customWidth="1"/>
    <col min="17" max="17" width="19.42578125" style="5" customWidth="1"/>
    <col min="18" max="19" width="21.85546875" style="5" customWidth="1"/>
    <col min="20" max="20" width="18.7109375" style="5" customWidth="1"/>
    <col min="21" max="21" width="11.7109375" style="5" bestFit="1" customWidth="1"/>
    <col min="22" max="22" width="64.140625" style="5" customWidth="1"/>
    <col min="23" max="23" width="16.42578125" style="5" bestFit="1" customWidth="1"/>
    <col min="24" max="24" width="61" style="5" bestFit="1" customWidth="1"/>
    <col min="25" max="25" width="16.5703125" style="5" bestFit="1" customWidth="1"/>
    <col min="26" max="26" width="6.85546875" style="5" customWidth="1"/>
    <col min="27" max="16384" width="172" style="5"/>
  </cols>
  <sheetData>
    <row r="1" spans="1:26" s="10" customFormat="1" ht="15" x14ac:dyDescent="0.25">
      <c r="A1" s="9" t="s">
        <v>10</v>
      </c>
      <c r="B1" s="9" t="s">
        <v>5</v>
      </c>
      <c r="C1" s="9" t="s">
        <v>3</v>
      </c>
      <c r="D1" s="19" t="s">
        <v>18</v>
      </c>
      <c r="E1" s="9" t="s">
        <v>6</v>
      </c>
      <c r="F1" s="9" t="s">
        <v>8</v>
      </c>
      <c r="G1" s="9" t="s">
        <v>7</v>
      </c>
      <c r="H1" s="9" t="s">
        <v>16</v>
      </c>
      <c r="I1" s="9" t="s">
        <v>34</v>
      </c>
      <c r="J1" s="9" t="s">
        <v>9</v>
      </c>
      <c r="K1" s="9" t="s">
        <v>11</v>
      </c>
      <c r="L1" s="9" t="s">
        <v>13</v>
      </c>
      <c r="M1" s="9" t="s">
        <v>12</v>
      </c>
      <c r="N1" s="9" t="s">
        <v>137</v>
      </c>
      <c r="O1" s="9" t="s">
        <v>14</v>
      </c>
      <c r="P1" s="9" t="s">
        <v>15</v>
      </c>
      <c r="Q1" s="9" t="s">
        <v>138</v>
      </c>
      <c r="R1" s="9" t="s">
        <v>139</v>
      </c>
      <c r="S1" s="9" t="s">
        <v>140</v>
      </c>
      <c r="T1" s="9" t="s">
        <v>17</v>
      </c>
      <c r="U1" s="9" t="s">
        <v>163</v>
      </c>
      <c r="V1" s="9" t="s">
        <v>141</v>
      </c>
      <c r="W1" s="9" t="s">
        <v>174</v>
      </c>
      <c r="X1" s="9" t="s">
        <v>142</v>
      </c>
      <c r="Y1" s="9" t="s">
        <v>175</v>
      </c>
      <c r="Z1" s="9" t="s">
        <v>151</v>
      </c>
    </row>
    <row r="2" spans="1:26" x14ac:dyDescent="0.25">
      <c r="A2" s="2"/>
      <c r="B2" s="2" t="s">
        <v>126</v>
      </c>
      <c r="C2" s="2" t="str">
        <f>VLOOKUP(B2,Planilha2!$B$2:$C$100,2,FALSE)</f>
        <v>LOM</v>
      </c>
      <c r="D2" s="14">
        <v>0</v>
      </c>
      <c r="E2" s="7">
        <v>32968</v>
      </c>
      <c r="F2" s="3" t="s">
        <v>150</v>
      </c>
      <c r="H2" s="1">
        <f>YEAR(E2)</f>
        <v>1990</v>
      </c>
      <c r="I2" s="1" t="str">
        <f>VLOOKUP(H2,Planilha2!$E$1:$F$100,2,FALSE)</f>
        <v>1989-1992</v>
      </c>
      <c r="J2" s="2" t="s">
        <v>40</v>
      </c>
      <c r="K2" s="2"/>
      <c r="L2" s="2" t="s">
        <v>36</v>
      </c>
      <c r="M2" s="2" t="str">
        <f>VLOOKUP(L2,Planilha2!$I$2:$K$100,2,FALSE)</f>
        <v>Lei Orgânica e Regimento Interno</v>
      </c>
      <c r="N2" s="2" t="str">
        <f>VLOOKUP(L2,Planilha2!$I$2:$K$100,3,FALSE)</f>
        <v>Organização e Normas Gerais</v>
      </c>
      <c r="O2" s="2"/>
      <c r="P2" s="2"/>
      <c r="Q2" s="2"/>
      <c r="R2" s="2"/>
      <c r="S2" s="2"/>
      <c r="T2" s="4"/>
      <c r="U2" s="2" t="str">
        <f>VLOOKUP(B2,Planilha2!$B$2:$D$100,3,FALSE)</f>
        <v>lei-organica</v>
      </c>
      <c r="V2" s="4" t="str">
        <f>"/legislatura/" &amp; I2 &amp; "/" &amp; H2 &amp; "/" &amp; U2 &amp; "/" &amp; C2 &amp; "-" &amp; TEXT(D2,"00000") &amp; "-" &amp; H2 &amp; ".md"</f>
        <v>/legislatura/1989-1992/1990/lei-organica/LOM-00000-1990.md</v>
      </c>
      <c r="W2" s="17"/>
      <c r="X2" s="4" t="str">
        <f>"/legislatura/" &amp; I2 &amp; "/" &amp; H2 &amp; "/" &amp; U2 &amp; "/" &amp; C2 &amp; "-" &amp; TEXT(D2,"00000") &amp; "-" &amp; H2 &amp; "c.md"</f>
        <v>/legislatura/1989-1992/1990/lei-organica/LOM-00000-1990c.md</v>
      </c>
      <c r="Y2" s="17"/>
      <c r="Z2" s="2"/>
    </row>
    <row r="3" spans="1:26" x14ac:dyDescent="0.25">
      <c r="A3" s="2"/>
      <c r="B3" s="2" t="s">
        <v>36</v>
      </c>
      <c r="C3" s="2" t="str">
        <f>VLOOKUP(B3,Planilha2!$B$2:$C$100,2,FALSE)</f>
        <v>ELO</v>
      </c>
      <c r="D3" s="14">
        <v>1</v>
      </c>
      <c r="E3" s="7">
        <v>33156</v>
      </c>
      <c r="F3" s="3" t="s">
        <v>37</v>
      </c>
      <c r="H3" s="1">
        <f t="shared" ref="H3:H73" si="0">YEAR(E3)</f>
        <v>1990</v>
      </c>
      <c r="I3" s="1" t="str">
        <f>VLOOKUP(H3,Planilha2!$E$1:$F$100,2,FALSE)</f>
        <v>1989-1992</v>
      </c>
      <c r="J3" s="2" t="s">
        <v>40</v>
      </c>
      <c r="K3" s="2"/>
      <c r="L3" s="2" t="s">
        <v>36</v>
      </c>
      <c r="M3" s="2" t="str">
        <f>VLOOKUP(L3,Planilha2!$I$2:$K$100,2,FALSE)</f>
        <v>Lei Orgânica e Regimento Interno</v>
      </c>
      <c r="N3" s="2" t="str">
        <f>VLOOKUP(L3,Planilha2!$I$2:$K$100,3,FALSE)</f>
        <v>Organização e Normas Gerais</v>
      </c>
      <c r="O3" s="2"/>
      <c r="P3" s="2"/>
      <c r="Q3" s="2"/>
      <c r="R3" s="2"/>
      <c r="S3" s="2"/>
      <c r="T3" s="4"/>
      <c r="U3" s="2" t="str">
        <f>VLOOKUP(B3,Planilha2!$B$2:$D$100,3,FALSE)</f>
        <v>lei-organica</v>
      </c>
      <c r="V3" s="4" t="str">
        <f>"/legislatura/" &amp; I3 &amp; "/" &amp; H3 &amp; "/" &amp; U3 &amp; "/" &amp; C3 &amp; "-" &amp; TEXT(D3,"00000") &amp; "-" &amp; H3 &amp; ".md"</f>
        <v>/legislatura/1989-1992/1990/lei-organica/ELO-00001-1990.md</v>
      </c>
      <c r="W3" s="17"/>
      <c r="X3" s="4" t="str">
        <f>"/legislatura/" &amp; I3 &amp; "/" &amp; H3 &amp; "/" &amp; U3 &amp; "/" &amp; C3 &amp; "-" &amp; TEXT(D3,"00000") &amp; "-" &amp; H3 &amp; "c.md"</f>
        <v>/legislatura/1989-1992/1990/lei-organica/ELO-00001-1990c.md</v>
      </c>
      <c r="Y3" s="17"/>
      <c r="Z3" s="2"/>
    </row>
    <row r="4" spans="1:26" x14ac:dyDescent="0.25">
      <c r="A4" s="2"/>
      <c r="B4" s="2" t="s">
        <v>36</v>
      </c>
      <c r="C4" s="2" t="str">
        <f>VLOOKUP(B4,Planilha2!$B$2:$C$100,2,FALSE)</f>
        <v>ELO</v>
      </c>
      <c r="D4" s="14">
        <v>2</v>
      </c>
      <c r="E4" s="7">
        <v>33330</v>
      </c>
      <c r="F4" s="3" t="s">
        <v>154</v>
      </c>
      <c r="H4" s="1">
        <f t="shared" si="0"/>
        <v>1991</v>
      </c>
      <c r="I4" s="1" t="str">
        <f>VLOOKUP(H4,Planilha2!$E$1:$F$100,2,FALSE)</f>
        <v>1989-1992</v>
      </c>
      <c r="J4" s="2" t="s">
        <v>40</v>
      </c>
      <c r="K4" s="2"/>
      <c r="L4" s="2" t="s">
        <v>36</v>
      </c>
      <c r="M4" s="2" t="str">
        <f>VLOOKUP(L4,Planilha2!$I$2:$K$100,2,FALSE)</f>
        <v>Lei Orgânica e Regimento Interno</v>
      </c>
      <c r="N4" s="2" t="str">
        <f>VLOOKUP(L4,Planilha2!$I$2:$K$100,3,FALSE)</f>
        <v>Organização e Normas Gerais</v>
      </c>
      <c r="O4" s="2"/>
      <c r="P4" s="2"/>
      <c r="Q4" s="2"/>
      <c r="R4" s="2"/>
      <c r="S4" s="2"/>
      <c r="T4" s="4"/>
      <c r="U4" s="2" t="str">
        <f>VLOOKUP(B4,Planilha2!$B$2:$D$100,3,FALSE)</f>
        <v>lei-organica</v>
      </c>
      <c r="V4" s="4" t="str">
        <f t="shared" ref="V4:V39" si="1">"/legislatura/" &amp; I4 &amp; "/" &amp; H4 &amp; "/" &amp; U4 &amp; "/" &amp; C4 &amp; "-" &amp; TEXT(D4,"00000") &amp; "-" &amp; H4 &amp; ".md"</f>
        <v>/legislatura/1989-1992/1991/lei-organica/ELO-00002-1991.md</v>
      </c>
      <c r="W4" s="17"/>
      <c r="X4" s="4" t="str">
        <f t="shared" ref="X4:X39" si="2">"/legislatura/" &amp; I4 &amp; "/" &amp; H4 &amp; "/" &amp; U4 &amp; "/" &amp; C4 &amp; "-" &amp; TEXT(D4,"00000") &amp; "-" &amp; H4 &amp; "c.md"</f>
        <v>/legislatura/1989-1992/1991/lei-organica/ELO-00002-1991c.md</v>
      </c>
      <c r="Y4" s="17"/>
      <c r="Z4" s="2"/>
    </row>
    <row r="5" spans="1:26" x14ac:dyDescent="0.25">
      <c r="A5" s="2"/>
      <c r="B5" s="2" t="s">
        <v>36</v>
      </c>
      <c r="C5" s="2" t="str">
        <f>VLOOKUP(B5,Planilha2!$B$2:$C$100,2,FALSE)</f>
        <v>ELO</v>
      </c>
      <c r="D5" s="14">
        <v>3</v>
      </c>
      <c r="E5" s="7">
        <v>34033</v>
      </c>
      <c r="F5" s="3" t="s">
        <v>155</v>
      </c>
      <c r="H5" s="1">
        <f t="shared" si="0"/>
        <v>1993</v>
      </c>
      <c r="I5" s="1" t="str">
        <f>VLOOKUP(H5,Planilha2!$E$1:$F$100,2,FALSE)</f>
        <v>1993-1996</v>
      </c>
      <c r="J5" s="2" t="s">
        <v>40</v>
      </c>
      <c r="K5" s="2"/>
      <c r="L5" s="2" t="s">
        <v>36</v>
      </c>
      <c r="M5" s="2" t="str">
        <f>VLOOKUP(L5,Planilha2!$I$2:$K$100,2,FALSE)</f>
        <v>Lei Orgânica e Regimento Interno</v>
      </c>
      <c r="N5" s="2" t="str">
        <f>VLOOKUP(L5,Planilha2!$I$2:$K$100,3,FALSE)</f>
        <v>Organização e Normas Gerais</v>
      </c>
      <c r="O5" s="2"/>
      <c r="P5" s="2"/>
      <c r="Q5" s="2"/>
      <c r="R5" s="2"/>
      <c r="S5" s="2"/>
      <c r="T5" s="4"/>
      <c r="U5" s="2" t="str">
        <f>VLOOKUP(B5,Planilha2!$B$2:$D$100,3,FALSE)</f>
        <v>lei-organica</v>
      </c>
      <c r="V5" s="4" t="str">
        <f t="shared" si="1"/>
        <v>/legislatura/1993-1996/1993/lei-organica/ELO-00003-1993.md</v>
      </c>
      <c r="W5" s="17"/>
      <c r="X5" s="4" t="str">
        <f t="shared" si="2"/>
        <v>/legislatura/1993-1996/1993/lei-organica/ELO-00003-1993c.md</v>
      </c>
      <c r="Y5" s="17"/>
      <c r="Z5" s="2"/>
    </row>
    <row r="6" spans="1:26" x14ac:dyDescent="0.25">
      <c r="B6" s="2" t="s">
        <v>36</v>
      </c>
      <c r="C6" s="2" t="str">
        <f>VLOOKUP(B6,Planilha2!$B$2:$C$100,2,FALSE)</f>
        <v>ELO</v>
      </c>
      <c r="D6" s="14">
        <v>4</v>
      </c>
      <c r="E6" s="7">
        <v>34272</v>
      </c>
      <c r="F6" s="5" t="s">
        <v>156</v>
      </c>
      <c r="H6" s="1">
        <f t="shared" si="0"/>
        <v>1993</v>
      </c>
      <c r="I6" s="1" t="str">
        <f>VLOOKUP(H6,Planilha2!$E$1:$F$100,2,FALSE)</f>
        <v>1993-1996</v>
      </c>
      <c r="J6" s="2" t="s">
        <v>40</v>
      </c>
      <c r="K6" s="2"/>
      <c r="L6" s="2" t="s">
        <v>36</v>
      </c>
      <c r="M6" s="2" t="str">
        <f>VLOOKUP(L6,Planilha2!$I$2:$K$100,2,FALSE)</f>
        <v>Lei Orgânica e Regimento Interno</v>
      </c>
      <c r="N6" s="2" t="str">
        <f>VLOOKUP(L6,Planilha2!$I$2:$K$100,3,FALSE)</f>
        <v>Organização e Normas Gerais</v>
      </c>
      <c r="U6" s="2" t="str">
        <f>VLOOKUP(B6,Planilha2!$B$2:$D$100,3,FALSE)</f>
        <v>lei-organica</v>
      </c>
      <c r="V6" s="4" t="str">
        <f t="shared" si="1"/>
        <v>/legislatura/1993-1996/1993/lei-organica/ELO-00004-1993.md</v>
      </c>
      <c r="W6" s="8"/>
      <c r="X6" s="4" t="str">
        <f t="shared" si="2"/>
        <v>/legislatura/1993-1996/1993/lei-organica/ELO-00004-1993c.md</v>
      </c>
      <c r="Y6" s="8"/>
    </row>
    <row r="7" spans="1:26" x14ac:dyDescent="0.25">
      <c r="B7" s="2" t="s">
        <v>36</v>
      </c>
      <c r="C7" s="2" t="str">
        <f>VLOOKUP(B7,Planilha2!$B$2:$C$100,2,FALSE)</f>
        <v>ELO</v>
      </c>
      <c r="D7" s="14">
        <v>5</v>
      </c>
      <c r="E7" s="7">
        <v>34319</v>
      </c>
      <c r="F7" s="5" t="s">
        <v>157</v>
      </c>
      <c r="H7" s="1">
        <f t="shared" si="0"/>
        <v>1993</v>
      </c>
      <c r="I7" s="1" t="str">
        <f>VLOOKUP(H7,Planilha2!$E$1:$F$100,2,FALSE)</f>
        <v>1993-1996</v>
      </c>
      <c r="J7" s="2" t="s">
        <v>40</v>
      </c>
      <c r="K7" s="2"/>
      <c r="L7" s="2" t="s">
        <v>36</v>
      </c>
      <c r="M7" s="2" t="str">
        <f>VLOOKUP(L7,Planilha2!$I$2:$K$100,2,FALSE)</f>
        <v>Lei Orgânica e Regimento Interno</v>
      </c>
      <c r="N7" s="2" t="str">
        <f>VLOOKUP(L7,Planilha2!$I$2:$K$100,3,FALSE)</f>
        <v>Organização e Normas Gerais</v>
      </c>
      <c r="U7" s="2" t="str">
        <f>VLOOKUP(B7,Planilha2!$B$2:$D$100,3,FALSE)</f>
        <v>lei-organica</v>
      </c>
      <c r="V7" s="4" t="str">
        <f t="shared" si="1"/>
        <v>/legislatura/1993-1996/1993/lei-organica/ELO-00005-1993.md</v>
      </c>
      <c r="W7" s="8"/>
      <c r="X7" s="4" t="str">
        <f t="shared" si="2"/>
        <v>/legislatura/1993-1996/1993/lei-organica/ELO-00005-1993c.md</v>
      </c>
      <c r="Y7" s="8"/>
    </row>
    <row r="8" spans="1:26" x14ac:dyDescent="0.25">
      <c r="B8" s="2" t="s">
        <v>36</v>
      </c>
      <c r="C8" s="2" t="str">
        <f>VLOOKUP(B8,Planilha2!$B$2:$C$100,2,FALSE)</f>
        <v>ELO</v>
      </c>
      <c r="D8" s="14">
        <v>6</v>
      </c>
      <c r="E8" s="7"/>
      <c r="H8" s="1">
        <f t="shared" si="0"/>
        <v>1900</v>
      </c>
      <c r="I8" s="1" t="e">
        <f>VLOOKUP(H8,Planilha2!$E$1:$F$100,2,FALSE)</f>
        <v>#N/A</v>
      </c>
      <c r="J8" s="2" t="s">
        <v>40</v>
      </c>
      <c r="K8" s="2"/>
      <c r="L8" s="2" t="s">
        <v>36</v>
      </c>
      <c r="M8" s="2" t="str">
        <f>VLOOKUP(L8,Planilha2!$I$2:$K$100,2,FALSE)</f>
        <v>Lei Orgânica e Regimento Interno</v>
      </c>
      <c r="N8" s="2" t="str">
        <f>VLOOKUP(L8,Planilha2!$I$2:$K$100,3,FALSE)</f>
        <v>Organização e Normas Gerais</v>
      </c>
      <c r="U8" s="2" t="str">
        <f>VLOOKUP(B8,Planilha2!$B$2:$D$100,3,FALSE)</f>
        <v>lei-organica</v>
      </c>
      <c r="V8" s="4" t="e">
        <f t="shared" si="1"/>
        <v>#N/A</v>
      </c>
      <c r="W8" s="8"/>
      <c r="X8" s="4" t="e">
        <f t="shared" si="2"/>
        <v>#N/A</v>
      </c>
      <c r="Y8" s="8"/>
    </row>
    <row r="9" spans="1:26" x14ac:dyDescent="0.25">
      <c r="B9" s="2" t="s">
        <v>36</v>
      </c>
      <c r="C9" s="2" t="str">
        <f>VLOOKUP(B9,Planilha2!$B$2:$C$100,2,FALSE)</f>
        <v>ELO</v>
      </c>
      <c r="D9" s="14">
        <v>7</v>
      </c>
      <c r="E9" s="7"/>
      <c r="H9" s="1">
        <f t="shared" si="0"/>
        <v>1900</v>
      </c>
      <c r="I9" s="1" t="e">
        <f>VLOOKUP(H9,Planilha2!$E$1:$F$100,2,FALSE)</f>
        <v>#N/A</v>
      </c>
      <c r="J9" s="2" t="s">
        <v>40</v>
      </c>
      <c r="K9" s="2"/>
      <c r="L9" s="2" t="s">
        <v>36</v>
      </c>
      <c r="M9" s="2" t="str">
        <f>VLOOKUP(L9,Planilha2!$I$2:$K$100,2,FALSE)</f>
        <v>Lei Orgânica e Regimento Interno</v>
      </c>
      <c r="N9" s="2" t="str">
        <f>VLOOKUP(L9,Planilha2!$I$2:$K$100,3,FALSE)</f>
        <v>Organização e Normas Gerais</v>
      </c>
      <c r="U9" s="2" t="str">
        <f>VLOOKUP(B9,Planilha2!$B$2:$D$100,3,FALSE)</f>
        <v>lei-organica</v>
      </c>
      <c r="V9" s="4" t="e">
        <f t="shared" si="1"/>
        <v>#N/A</v>
      </c>
      <c r="W9" s="8"/>
      <c r="X9" s="4" t="e">
        <f t="shared" si="2"/>
        <v>#N/A</v>
      </c>
      <c r="Y9" s="8"/>
    </row>
    <row r="10" spans="1:26" x14ac:dyDescent="0.25">
      <c r="B10" s="2" t="s">
        <v>36</v>
      </c>
      <c r="C10" s="2" t="str">
        <f>VLOOKUP(B10,Planilha2!$B$2:$C$100,2,FALSE)</f>
        <v>ELO</v>
      </c>
      <c r="D10" s="14">
        <v>8</v>
      </c>
      <c r="E10" s="7"/>
      <c r="H10" s="1">
        <f t="shared" si="0"/>
        <v>1900</v>
      </c>
      <c r="I10" s="1" t="e">
        <f>VLOOKUP(H10,Planilha2!$E$1:$F$100,2,FALSE)</f>
        <v>#N/A</v>
      </c>
      <c r="J10" s="2" t="s">
        <v>40</v>
      </c>
      <c r="K10" s="2"/>
      <c r="L10" s="2" t="s">
        <v>36</v>
      </c>
      <c r="M10" s="2" t="str">
        <f>VLOOKUP(L10,Planilha2!$I$2:$K$100,2,FALSE)</f>
        <v>Lei Orgânica e Regimento Interno</v>
      </c>
      <c r="N10" s="2" t="str">
        <f>VLOOKUP(L10,Planilha2!$I$2:$K$100,3,FALSE)</f>
        <v>Organização e Normas Gerais</v>
      </c>
      <c r="U10" s="2" t="str">
        <f>VLOOKUP(B10,Planilha2!$B$2:$D$100,3,FALSE)</f>
        <v>lei-organica</v>
      </c>
      <c r="V10" s="4" t="e">
        <f t="shared" si="1"/>
        <v>#N/A</v>
      </c>
      <c r="W10" s="8"/>
      <c r="X10" s="4" t="e">
        <f t="shared" si="2"/>
        <v>#N/A</v>
      </c>
      <c r="Y10" s="8"/>
    </row>
    <row r="11" spans="1:26" x14ac:dyDescent="0.25">
      <c r="B11" s="2" t="s">
        <v>36</v>
      </c>
      <c r="C11" s="2" t="str">
        <f>VLOOKUP(B11,Planilha2!$B$2:$C$100,2,FALSE)</f>
        <v>ELO</v>
      </c>
      <c r="D11" s="14">
        <v>9</v>
      </c>
      <c r="E11" s="7"/>
      <c r="H11" s="1">
        <f t="shared" si="0"/>
        <v>1900</v>
      </c>
      <c r="I11" s="1" t="e">
        <f>VLOOKUP(H11,Planilha2!$E$1:$F$100,2,FALSE)</f>
        <v>#N/A</v>
      </c>
      <c r="J11" s="2" t="s">
        <v>40</v>
      </c>
      <c r="K11" s="2"/>
      <c r="L11" s="2" t="s">
        <v>36</v>
      </c>
      <c r="M11" s="2" t="str">
        <f>VLOOKUP(L11,Planilha2!$I$2:$K$100,2,FALSE)</f>
        <v>Lei Orgânica e Regimento Interno</v>
      </c>
      <c r="N11" s="2" t="str">
        <f>VLOOKUP(L11,Planilha2!$I$2:$K$100,3,FALSE)</f>
        <v>Organização e Normas Gerais</v>
      </c>
      <c r="U11" s="2" t="str">
        <f>VLOOKUP(B11,Planilha2!$B$2:$D$100,3,FALSE)</f>
        <v>lei-organica</v>
      </c>
      <c r="V11" s="4" t="e">
        <f t="shared" si="1"/>
        <v>#N/A</v>
      </c>
      <c r="W11" s="8"/>
      <c r="X11" s="4" t="e">
        <f t="shared" si="2"/>
        <v>#N/A</v>
      </c>
      <c r="Y11" s="8"/>
    </row>
    <row r="12" spans="1:26" x14ac:dyDescent="0.25">
      <c r="B12" s="2" t="s">
        <v>36</v>
      </c>
      <c r="C12" s="2" t="str">
        <f>VLOOKUP(B12,Planilha2!$B$2:$C$100,2,FALSE)</f>
        <v>ELO</v>
      </c>
      <c r="D12" s="14">
        <v>10</v>
      </c>
      <c r="E12" s="7"/>
      <c r="H12" s="1">
        <f t="shared" si="0"/>
        <v>1900</v>
      </c>
      <c r="I12" s="1" t="e">
        <f>VLOOKUP(H12,Planilha2!$E$1:$F$100,2,FALSE)</f>
        <v>#N/A</v>
      </c>
      <c r="J12" s="2" t="s">
        <v>40</v>
      </c>
      <c r="K12" s="2"/>
      <c r="L12" s="2" t="s">
        <v>36</v>
      </c>
      <c r="M12" s="2" t="str">
        <f>VLOOKUP(L12,Planilha2!$I$2:$K$100,2,FALSE)</f>
        <v>Lei Orgânica e Regimento Interno</v>
      </c>
      <c r="N12" s="2" t="str">
        <f>VLOOKUP(L12,Planilha2!$I$2:$K$100,3,FALSE)</f>
        <v>Organização e Normas Gerais</v>
      </c>
      <c r="U12" s="2" t="str">
        <f>VLOOKUP(B12,Planilha2!$B$2:$D$100,3,FALSE)</f>
        <v>lei-organica</v>
      </c>
      <c r="V12" s="4" t="e">
        <f t="shared" si="1"/>
        <v>#N/A</v>
      </c>
      <c r="W12" s="8"/>
      <c r="X12" s="4" t="e">
        <f t="shared" si="2"/>
        <v>#N/A</v>
      </c>
      <c r="Y12" s="8"/>
    </row>
    <row r="13" spans="1:26" x14ac:dyDescent="0.25">
      <c r="B13" s="2" t="s">
        <v>36</v>
      </c>
      <c r="C13" s="2" t="str">
        <f>VLOOKUP(B13,Planilha2!$B$2:$C$100,2,FALSE)</f>
        <v>ELO</v>
      </c>
      <c r="D13" s="14">
        <v>11</v>
      </c>
      <c r="E13" s="7"/>
      <c r="H13" s="1">
        <f t="shared" si="0"/>
        <v>1900</v>
      </c>
      <c r="I13" s="1" t="e">
        <f>VLOOKUP(H13,Planilha2!$E$1:$F$100,2,FALSE)</f>
        <v>#N/A</v>
      </c>
      <c r="J13" s="2" t="s">
        <v>40</v>
      </c>
      <c r="K13" s="2"/>
      <c r="L13" s="2" t="s">
        <v>36</v>
      </c>
      <c r="M13" s="2" t="str">
        <f>VLOOKUP(L13,Planilha2!$I$2:$K$100,2,FALSE)</f>
        <v>Lei Orgânica e Regimento Interno</v>
      </c>
      <c r="N13" s="2" t="str">
        <f>VLOOKUP(L13,Planilha2!$I$2:$K$100,3,FALSE)</f>
        <v>Organização e Normas Gerais</v>
      </c>
      <c r="U13" s="2" t="str">
        <f>VLOOKUP(B13,Planilha2!$B$2:$D$100,3,FALSE)</f>
        <v>lei-organica</v>
      </c>
      <c r="V13" s="4" t="e">
        <f t="shared" si="1"/>
        <v>#N/A</v>
      </c>
      <c r="W13" s="8"/>
      <c r="X13" s="4" t="e">
        <f t="shared" si="2"/>
        <v>#N/A</v>
      </c>
      <c r="Y13" s="8"/>
    </row>
    <row r="14" spans="1:26" x14ac:dyDescent="0.25">
      <c r="B14" s="2" t="s">
        <v>36</v>
      </c>
      <c r="C14" s="2" t="str">
        <f>VLOOKUP(B14,Planilha2!$B$2:$C$100,2,FALSE)</f>
        <v>ELO</v>
      </c>
      <c r="D14" s="14">
        <v>12</v>
      </c>
      <c r="E14" s="7"/>
      <c r="H14" s="1">
        <f t="shared" si="0"/>
        <v>1900</v>
      </c>
      <c r="I14" s="1" t="e">
        <f>VLOOKUP(H14,Planilha2!$E$1:$F$100,2,FALSE)</f>
        <v>#N/A</v>
      </c>
      <c r="J14" s="2" t="s">
        <v>40</v>
      </c>
      <c r="K14" s="2"/>
      <c r="L14" s="2" t="s">
        <v>36</v>
      </c>
      <c r="M14" s="2" t="str">
        <f>VLOOKUP(L14,Planilha2!$I$2:$K$100,2,FALSE)</f>
        <v>Lei Orgânica e Regimento Interno</v>
      </c>
      <c r="N14" s="2" t="str">
        <f>VLOOKUP(L14,Planilha2!$I$2:$K$100,3,FALSE)</f>
        <v>Organização e Normas Gerais</v>
      </c>
      <c r="U14" s="2" t="str">
        <f>VLOOKUP(B14,Planilha2!$B$2:$D$100,3,FALSE)</f>
        <v>lei-organica</v>
      </c>
      <c r="V14" s="4" t="e">
        <f t="shared" si="1"/>
        <v>#N/A</v>
      </c>
      <c r="W14" s="8"/>
      <c r="X14" s="4" t="e">
        <f t="shared" si="2"/>
        <v>#N/A</v>
      </c>
      <c r="Y14" s="8"/>
    </row>
    <row r="15" spans="1:26" x14ac:dyDescent="0.25">
      <c r="B15" s="2" t="s">
        <v>36</v>
      </c>
      <c r="C15" s="2" t="str">
        <f>VLOOKUP(B15,Planilha2!$B$2:$C$100,2,FALSE)</f>
        <v>ELO</v>
      </c>
      <c r="D15" s="14">
        <v>13</v>
      </c>
      <c r="E15" s="7"/>
      <c r="H15" s="1">
        <f t="shared" si="0"/>
        <v>1900</v>
      </c>
      <c r="I15" s="1" t="e">
        <f>VLOOKUP(H15,Planilha2!$E$1:$F$100,2,FALSE)</f>
        <v>#N/A</v>
      </c>
      <c r="J15" s="2" t="s">
        <v>40</v>
      </c>
      <c r="K15" s="2"/>
      <c r="L15" s="2" t="s">
        <v>36</v>
      </c>
      <c r="M15" s="2" t="str">
        <f>VLOOKUP(L15,Planilha2!$I$2:$K$100,2,FALSE)</f>
        <v>Lei Orgânica e Regimento Interno</v>
      </c>
      <c r="N15" s="2" t="str">
        <f>VLOOKUP(L15,Planilha2!$I$2:$K$100,3,FALSE)</f>
        <v>Organização e Normas Gerais</v>
      </c>
      <c r="U15" s="2" t="str">
        <f>VLOOKUP(B15,Planilha2!$B$2:$D$100,3,FALSE)</f>
        <v>lei-organica</v>
      </c>
      <c r="V15" s="4" t="e">
        <f t="shared" si="1"/>
        <v>#N/A</v>
      </c>
      <c r="W15" s="8"/>
      <c r="X15" s="4" t="e">
        <f t="shared" si="2"/>
        <v>#N/A</v>
      </c>
      <c r="Y15" s="8"/>
    </row>
    <row r="16" spans="1:26" x14ac:dyDescent="0.25">
      <c r="B16" s="2" t="s">
        <v>36</v>
      </c>
      <c r="C16" s="2" t="str">
        <f>VLOOKUP(B16,Planilha2!$B$2:$C$100,2,FALSE)</f>
        <v>ELO</v>
      </c>
      <c r="D16" s="14">
        <v>14</v>
      </c>
      <c r="E16" s="7"/>
      <c r="H16" s="1">
        <f t="shared" si="0"/>
        <v>1900</v>
      </c>
      <c r="I16" s="1" t="e">
        <f>VLOOKUP(H16,Planilha2!$E$1:$F$100,2,FALSE)</f>
        <v>#N/A</v>
      </c>
      <c r="J16" s="2" t="s">
        <v>40</v>
      </c>
      <c r="K16" s="2"/>
      <c r="L16" s="2" t="s">
        <v>36</v>
      </c>
      <c r="M16" s="2" t="str">
        <f>VLOOKUP(L16,Planilha2!$I$2:$K$100,2,FALSE)</f>
        <v>Lei Orgânica e Regimento Interno</v>
      </c>
      <c r="N16" s="2" t="str">
        <f>VLOOKUP(L16,Planilha2!$I$2:$K$100,3,FALSE)</f>
        <v>Organização e Normas Gerais</v>
      </c>
      <c r="U16" s="2" t="str">
        <f>VLOOKUP(B16,Planilha2!$B$2:$D$100,3,FALSE)</f>
        <v>lei-organica</v>
      </c>
      <c r="V16" s="4" t="e">
        <f t="shared" si="1"/>
        <v>#N/A</v>
      </c>
      <c r="W16" s="8"/>
      <c r="X16" s="4" t="e">
        <f t="shared" si="2"/>
        <v>#N/A</v>
      </c>
      <c r="Y16" s="8"/>
    </row>
    <row r="17" spans="2:25" ht="28.5" x14ac:dyDescent="0.25">
      <c r="B17" s="2" t="s">
        <v>36</v>
      </c>
      <c r="C17" s="2" t="str">
        <f>VLOOKUP(B17,Planilha2!$B$2:$C$100,2,FALSE)</f>
        <v>ELO</v>
      </c>
      <c r="D17" s="14">
        <v>15</v>
      </c>
      <c r="E17" s="7">
        <v>36432</v>
      </c>
      <c r="F17" s="5" t="s">
        <v>180</v>
      </c>
      <c r="G17" s="2" t="s">
        <v>181</v>
      </c>
      <c r="H17" s="1">
        <f t="shared" si="0"/>
        <v>1999</v>
      </c>
      <c r="I17" s="1" t="str">
        <f>VLOOKUP(H17,Planilha2!$E$1:$F$100,2,FALSE)</f>
        <v>1997-2000</v>
      </c>
      <c r="J17" s="2" t="s">
        <v>40</v>
      </c>
      <c r="K17" s="2"/>
      <c r="L17" s="2" t="s">
        <v>36</v>
      </c>
      <c r="M17" s="2" t="str">
        <f>VLOOKUP(L17,Planilha2!$I$2:$K$100,2,FALSE)</f>
        <v>Lei Orgânica e Regimento Interno</v>
      </c>
      <c r="N17" s="2" t="str">
        <f>VLOOKUP(L17,Planilha2!$I$2:$K$100,3,FALSE)</f>
        <v>Organização e Normas Gerais</v>
      </c>
      <c r="P17" s="5" t="s">
        <v>173</v>
      </c>
      <c r="U17" s="2" t="str">
        <f>VLOOKUP(B17,Planilha2!$B$2:$D$100,3,FALSE)</f>
        <v>lei-organica</v>
      </c>
      <c r="V17" s="4" t="str">
        <f t="shared" si="1"/>
        <v>/legislatura/1997-2000/1999/lei-organica/ELO-00015-1999.md</v>
      </c>
      <c r="W17" s="8"/>
      <c r="X17" s="4" t="str">
        <f t="shared" si="2"/>
        <v>/legislatura/1997-2000/1999/lei-organica/ELO-00015-1999c.md</v>
      </c>
      <c r="Y17" s="8"/>
    </row>
    <row r="18" spans="2:25" x14ac:dyDescent="0.25">
      <c r="B18" s="2" t="s">
        <v>36</v>
      </c>
      <c r="C18" s="2" t="str">
        <f>VLOOKUP(B18,Planilha2!$B$2:$C$100,2,FALSE)</f>
        <v>ELO</v>
      </c>
      <c r="D18" s="14">
        <v>16</v>
      </c>
      <c r="E18" s="7"/>
      <c r="H18" s="1">
        <f t="shared" si="0"/>
        <v>1900</v>
      </c>
      <c r="I18" s="1" t="e">
        <f>VLOOKUP(H18,Planilha2!$E$1:$F$100,2,FALSE)</f>
        <v>#N/A</v>
      </c>
      <c r="J18" s="2" t="s">
        <v>40</v>
      </c>
      <c r="K18" s="2"/>
      <c r="L18" s="2" t="s">
        <v>36</v>
      </c>
      <c r="M18" s="2" t="str">
        <f>VLOOKUP(L18,Planilha2!$I$2:$K$100,2,FALSE)</f>
        <v>Lei Orgânica e Regimento Interno</v>
      </c>
      <c r="N18" s="2" t="str">
        <f>VLOOKUP(L18,Planilha2!$I$2:$K$100,3,FALSE)</f>
        <v>Organização e Normas Gerais</v>
      </c>
      <c r="U18" s="2" t="str">
        <f>VLOOKUP(B18,Planilha2!$B$2:$D$100,3,FALSE)</f>
        <v>lei-organica</v>
      </c>
      <c r="V18" s="4" t="e">
        <f t="shared" si="1"/>
        <v>#N/A</v>
      </c>
      <c r="W18" s="8"/>
      <c r="X18" s="4" t="e">
        <f t="shared" si="2"/>
        <v>#N/A</v>
      </c>
      <c r="Y18" s="8"/>
    </row>
    <row r="19" spans="2:25" x14ac:dyDescent="0.25">
      <c r="B19" s="2" t="s">
        <v>36</v>
      </c>
      <c r="C19" s="2" t="str">
        <f>VLOOKUP(B19,Planilha2!$B$2:$C$100,2,FALSE)</f>
        <v>ELO</v>
      </c>
      <c r="D19" s="14">
        <v>17</v>
      </c>
      <c r="E19" s="7"/>
      <c r="H19" s="1">
        <f t="shared" si="0"/>
        <v>1900</v>
      </c>
      <c r="I19" s="1" t="e">
        <f>VLOOKUP(H19,Planilha2!$E$1:$F$100,2,FALSE)</f>
        <v>#N/A</v>
      </c>
      <c r="J19" s="2" t="s">
        <v>40</v>
      </c>
      <c r="K19" s="2"/>
      <c r="L19" s="2" t="s">
        <v>36</v>
      </c>
      <c r="M19" s="2" t="str">
        <f>VLOOKUP(L19,Planilha2!$I$2:$K$100,2,FALSE)</f>
        <v>Lei Orgânica e Regimento Interno</v>
      </c>
      <c r="N19" s="2" t="str">
        <f>VLOOKUP(L19,Planilha2!$I$2:$K$100,3,FALSE)</f>
        <v>Organização e Normas Gerais</v>
      </c>
      <c r="U19" s="2" t="str">
        <f>VLOOKUP(B19,Planilha2!$B$2:$D$100,3,FALSE)</f>
        <v>lei-organica</v>
      </c>
      <c r="V19" s="4" t="e">
        <f t="shared" si="1"/>
        <v>#N/A</v>
      </c>
      <c r="W19" s="8"/>
      <c r="X19" s="4" t="e">
        <f t="shared" si="2"/>
        <v>#N/A</v>
      </c>
      <c r="Y19" s="8"/>
    </row>
    <row r="20" spans="2:25" x14ac:dyDescent="0.25">
      <c r="B20" s="2" t="s">
        <v>36</v>
      </c>
      <c r="C20" s="2" t="str">
        <f>VLOOKUP(B20,Planilha2!$B$2:$C$100,2,FALSE)</f>
        <v>ELO</v>
      </c>
      <c r="D20" s="14">
        <v>18</v>
      </c>
      <c r="E20" s="7"/>
      <c r="H20" s="1">
        <f t="shared" si="0"/>
        <v>1900</v>
      </c>
      <c r="I20" s="1" t="e">
        <f>VLOOKUP(H20,Planilha2!$E$1:$F$100,2,FALSE)</f>
        <v>#N/A</v>
      </c>
      <c r="J20" s="2" t="s">
        <v>40</v>
      </c>
      <c r="K20" s="2"/>
      <c r="L20" s="2" t="s">
        <v>36</v>
      </c>
      <c r="M20" s="2" t="str">
        <f>VLOOKUP(L20,Planilha2!$I$2:$K$100,2,FALSE)</f>
        <v>Lei Orgânica e Regimento Interno</v>
      </c>
      <c r="N20" s="2" t="str">
        <f>VLOOKUP(L20,Planilha2!$I$2:$K$100,3,FALSE)</f>
        <v>Organização e Normas Gerais</v>
      </c>
      <c r="U20" s="2" t="str">
        <f>VLOOKUP(B20,Planilha2!$B$2:$D$100,3,FALSE)</f>
        <v>lei-organica</v>
      </c>
      <c r="V20" s="4" t="e">
        <f t="shared" si="1"/>
        <v>#N/A</v>
      </c>
      <c r="W20" s="8"/>
      <c r="X20" s="4" t="e">
        <f t="shared" si="2"/>
        <v>#N/A</v>
      </c>
      <c r="Y20" s="8"/>
    </row>
    <row r="21" spans="2:25" x14ac:dyDescent="0.25">
      <c r="B21" s="2" t="s">
        <v>36</v>
      </c>
      <c r="C21" s="2" t="str">
        <f>VLOOKUP(B21,Planilha2!$B$2:$C$100,2,FALSE)</f>
        <v>ELO</v>
      </c>
      <c r="D21" s="14">
        <v>19</v>
      </c>
      <c r="E21" s="7"/>
      <c r="H21" s="1">
        <f t="shared" si="0"/>
        <v>1900</v>
      </c>
      <c r="I21" s="1" t="e">
        <f>VLOOKUP(H21,Planilha2!$E$1:$F$100,2,FALSE)</f>
        <v>#N/A</v>
      </c>
      <c r="J21" s="2" t="s">
        <v>40</v>
      </c>
      <c r="K21" s="2"/>
      <c r="L21" s="2" t="s">
        <v>36</v>
      </c>
      <c r="M21" s="2" t="str">
        <f>VLOOKUP(L21,Planilha2!$I$2:$K$100,2,FALSE)</f>
        <v>Lei Orgânica e Regimento Interno</v>
      </c>
      <c r="N21" s="2" t="str">
        <f>VLOOKUP(L21,Planilha2!$I$2:$K$100,3,FALSE)</f>
        <v>Organização e Normas Gerais</v>
      </c>
      <c r="U21" s="2" t="str">
        <f>VLOOKUP(B21,Planilha2!$B$2:$D$100,3,FALSE)</f>
        <v>lei-organica</v>
      </c>
      <c r="V21" s="4" t="e">
        <f t="shared" si="1"/>
        <v>#N/A</v>
      </c>
      <c r="W21" s="8"/>
      <c r="X21" s="4" t="e">
        <f t="shared" si="2"/>
        <v>#N/A</v>
      </c>
      <c r="Y21" s="8"/>
    </row>
    <row r="22" spans="2:25" x14ac:dyDescent="0.25">
      <c r="B22" s="2" t="s">
        <v>36</v>
      </c>
      <c r="C22" s="2" t="str">
        <f>VLOOKUP(B22,Planilha2!$B$2:$C$100,2,FALSE)</f>
        <v>ELO</v>
      </c>
      <c r="D22" s="14">
        <v>20</v>
      </c>
      <c r="E22" s="7"/>
      <c r="H22" s="1">
        <f t="shared" si="0"/>
        <v>1900</v>
      </c>
      <c r="I22" s="1" t="e">
        <f>VLOOKUP(H22,Planilha2!$E$1:$F$100,2,FALSE)</f>
        <v>#N/A</v>
      </c>
      <c r="J22" s="2" t="s">
        <v>40</v>
      </c>
      <c r="K22" s="2"/>
      <c r="L22" s="2" t="s">
        <v>36</v>
      </c>
      <c r="M22" s="2" t="str">
        <f>VLOOKUP(L22,Planilha2!$I$2:$K$100,2,FALSE)</f>
        <v>Lei Orgânica e Regimento Interno</v>
      </c>
      <c r="N22" s="2" t="str">
        <f>VLOOKUP(L22,Planilha2!$I$2:$K$100,3,FALSE)</f>
        <v>Organização e Normas Gerais</v>
      </c>
      <c r="U22" s="2" t="str">
        <f>VLOOKUP(B22,Planilha2!$B$2:$D$100,3,FALSE)</f>
        <v>lei-organica</v>
      </c>
      <c r="V22" s="4" t="e">
        <f t="shared" si="1"/>
        <v>#N/A</v>
      </c>
      <c r="W22" s="8"/>
      <c r="X22" s="4" t="e">
        <f t="shared" si="2"/>
        <v>#N/A</v>
      </c>
      <c r="Y22" s="8"/>
    </row>
    <row r="23" spans="2:25" x14ac:dyDescent="0.25">
      <c r="B23" s="2" t="s">
        <v>36</v>
      </c>
      <c r="C23" s="2" t="str">
        <f>VLOOKUP(B23,Planilha2!$B$2:$C$100,2,FALSE)</f>
        <v>ELO</v>
      </c>
      <c r="D23" s="14">
        <v>21</v>
      </c>
      <c r="E23" s="7"/>
      <c r="H23" s="1">
        <f t="shared" si="0"/>
        <v>1900</v>
      </c>
      <c r="I23" s="1" t="e">
        <f>VLOOKUP(H23,Planilha2!$E$1:$F$100,2,FALSE)</f>
        <v>#N/A</v>
      </c>
      <c r="J23" s="2" t="s">
        <v>40</v>
      </c>
      <c r="K23" s="2"/>
      <c r="L23" s="2" t="s">
        <v>36</v>
      </c>
      <c r="M23" s="2" t="str">
        <f>VLOOKUP(L23,Planilha2!$I$2:$K$100,2,FALSE)</f>
        <v>Lei Orgânica e Regimento Interno</v>
      </c>
      <c r="N23" s="2" t="str">
        <f>VLOOKUP(L23,Planilha2!$I$2:$K$100,3,FALSE)</f>
        <v>Organização e Normas Gerais</v>
      </c>
      <c r="U23" s="2" t="str">
        <f>VLOOKUP(B23,Planilha2!$B$2:$D$100,3,FALSE)</f>
        <v>lei-organica</v>
      </c>
      <c r="V23" s="4" t="e">
        <f t="shared" si="1"/>
        <v>#N/A</v>
      </c>
      <c r="W23" s="8"/>
      <c r="X23" s="4" t="e">
        <f t="shared" si="2"/>
        <v>#N/A</v>
      </c>
      <c r="Y23" s="8"/>
    </row>
    <row r="24" spans="2:25" x14ac:dyDescent="0.25">
      <c r="B24" s="2" t="s">
        <v>36</v>
      </c>
      <c r="C24" s="2" t="str">
        <f>VLOOKUP(B24,Planilha2!$B$2:$C$100,2,FALSE)</f>
        <v>ELO</v>
      </c>
      <c r="D24" s="14">
        <v>22</v>
      </c>
      <c r="E24" s="7"/>
      <c r="H24" s="1">
        <f t="shared" si="0"/>
        <v>1900</v>
      </c>
      <c r="I24" s="1" t="e">
        <f>VLOOKUP(H24,Planilha2!$E$1:$F$100,2,FALSE)</f>
        <v>#N/A</v>
      </c>
      <c r="J24" s="2" t="s">
        <v>40</v>
      </c>
      <c r="K24" s="2"/>
      <c r="L24" s="2" t="s">
        <v>36</v>
      </c>
      <c r="M24" s="2" t="str">
        <f>VLOOKUP(L24,Planilha2!$I$2:$K$100,2,FALSE)</f>
        <v>Lei Orgânica e Regimento Interno</v>
      </c>
      <c r="N24" s="2" t="str">
        <f>VLOOKUP(L24,Planilha2!$I$2:$K$100,3,FALSE)</f>
        <v>Organização e Normas Gerais</v>
      </c>
      <c r="U24" s="2" t="str">
        <f>VLOOKUP(B24,Planilha2!$B$2:$D$100,3,FALSE)</f>
        <v>lei-organica</v>
      </c>
      <c r="V24" s="4" t="e">
        <f t="shared" si="1"/>
        <v>#N/A</v>
      </c>
      <c r="W24" s="8"/>
      <c r="X24" s="4" t="e">
        <f t="shared" si="2"/>
        <v>#N/A</v>
      </c>
      <c r="Y24" s="8"/>
    </row>
    <row r="25" spans="2:25" x14ac:dyDescent="0.25">
      <c r="B25" s="2" t="s">
        <v>36</v>
      </c>
      <c r="C25" s="2" t="str">
        <f>VLOOKUP(B25,Planilha2!$B$2:$C$100,2,FALSE)</f>
        <v>ELO</v>
      </c>
      <c r="D25" s="14">
        <v>23</v>
      </c>
      <c r="E25" s="7"/>
      <c r="H25" s="1">
        <f t="shared" si="0"/>
        <v>1900</v>
      </c>
      <c r="I25" s="1" t="e">
        <f>VLOOKUP(H25,Planilha2!$E$1:$F$100,2,FALSE)</f>
        <v>#N/A</v>
      </c>
      <c r="J25" s="2" t="s">
        <v>40</v>
      </c>
      <c r="K25" s="2"/>
      <c r="L25" s="2" t="s">
        <v>36</v>
      </c>
      <c r="M25" s="2" t="str">
        <f>VLOOKUP(L25,Planilha2!$I$2:$K$100,2,FALSE)</f>
        <v>Lei Orgânica e Regimento Interno</v>
      </c>
      <c r="N25" s="2" t="str">
        <f>VLOOKUP(L25,Planilha2!$I$2:$K$100,3,FALSE)</f>
        <v>Organização e Normas Gerais</v>
      </c>
      <c r="U25" s="2" t="str">
        <f>VLOOKUP(B25,Planilha2!$B$2:$D$100,3,FALSE)</f>
        <v>lei-organica</v>
      </c>
      <c r="V25" s="4" t="e">
        <f t="shared" si="1"/>
        <v>#N/A</v>
      </c>
      <c r="W25" s="8"/>
      <c r="X25" s="4" t="e">
        <f t="shared" si="2"/>
        <v>#N/A</v>
      </c>
      <c r="Y25" s="8"/>
    </row>
    <row r="26" spans="2:25" x14ac:dyDescent="0.25">
      <c r="B26" s="2" t="s">
        <v>36</v>
      </c>
      <c r="C26" s="2" t="str">
        <f>VLOOKUP(B26,Planilha2!$B$2:$C$100,2,FALSE)</f>
        <v>ELO</v>
      </c>
      <c r="D26" s="14">
        <v>24</v>
      </c>
      <c r="E26" s="7"/>
      <c r="H26" s="1">
        <f t="shared" si="0"/>
        <v>1900</v>
      </c>
      <c r="I26" s="1" t="e">
        <f>VLOOKUP(H26,Planilha2!$E$1:$F$100,2,FALSE)</f>
        <v>#N/A</v>
      </c>
      <c r="J26" s="2" t="s">
        <v>40</v>
      </c>
      <c r="K26" s="2"/>
      <c r="L26" s="2" t="s">
        <v>36</v>
      </c>
      <c r="M26" s="2" t="str">
        <f>VLOOKUP(L26,Planilha2!$I$2:$K$100,2,FALSE)</f>
        <v>Lei Orgânica e Regimento Interno</v>
      </c>
      <c r="N26" s="2" t="str">
        <f>VLOOKUP(L26,Planilha2!$I$2:$K$100,3,FALSE)</f>
        <v>Organização e Normas Gerais</v>
      </c>
      <c r="U26" s="2" t="str">
        <f>VLOOKUP(B26,Planilha2!$B$2:$D$100,3,FALSE)</f>
        <v>lei-organica</v>
      </c>
      <c r="V26" s="4" t="e">
        <f t="shared" si="1"/>
        <v>#N/A</v>
      </c>
      <c r="W26" s="8"/>
      <c r="X26" s="4" t="e">
        <f t="shared" si="2"/>
        <v>#N/A</v>
      </c>
      <c r="Y26" s="8"/>
    </row>
    <row r="27" spans="2:25" x14ac:dyDescent="0.25">
      <c r="B27" s="2" t="s">
        <v>36</v>
      </c>
      <c r="C27" s="2" t="str">
        <f>VLOOKUP(B27,Planilha2!$B$2:$C$100,2,FALSE)</f>
        <v>ELO</v>
      </c>
      <c r="D27" s="14">
        <v>25</v>
      </c>
      <c r="E27" s="7"/>
      <c r="H27" s="1">
        <f t="shared" si="0"/>
        <v>1900</v>
      </c>
      <c r="I27" s="1" t="e">
        <f>VLOOKUP(H27,Planilha2!$E$1:$F$100,2,FALSE)</f>
        <v>#N/A</v>
      </c>
      <c r="J27" s="2" t="s">
        <v>40</v>
      </c>
      <c r="K27" s="2"/>
      <c r="L27" s="2" t="s">
        <v>36</v>
      </c>
      <c r="M27" s="2" t="str">
        <f>VLOOKUP(L27,Planilha2!$I$2:$K$100,2,FALSE)</f>
        <v>Lei Orgânica e Regimento Interno</v>
      </c>
      <c r="N27" s="2" t="str">
        <f>VLOOKUP(L27,Planilha2!$I$2:$K$100,3,FALSE)</f>
        <v>Organização e Normas Gerais</v>
      </c>
      <c r="U27" s="2" t="str">
        <f>VLOOKUP(B27,Planilha2!$B$2:$D$100,3,FALSE)</f>
        <v>lei-organica</v>
      </c>
      <c r="V27" s="4" t="e">
        <f t="shared" si="1"/>
        <v>#N/A</v>
      </c>
      <c r="W27" s="8"/>
      <c r="X27" s="4" t="e">
        <f t="shared" si="2"/>
        <v>#N/A</v>
      </c>
      <c r="Y27" s="8"/>
    </row>
    <row r="28" spans="2:25" x14ac:dyDescent="0.25">
      <c r="B28" s="2" t="s">
        <v>36</v>
      </c>
      <c r="C28" s="2" t="str">
        <f>VLOOKUP(B28,Planilha2!$B$2:$C$100,2,FALSE)</f>
        <v>ELO</v>
      </c>
      <c r="D28" s="14">
        <v>26</v>
      </c>
      <c r="E28" s="7"/>
      <c r="H28" s="1">
        <f t="shared" si="0"/>
        <v>1900</v>
      </c>
      <c r="I28" s="1" t="e">
        <f>VLOOKUP(H28,Planilha2!$E$1:$F$100,2,FALSE)</f>
        <v>#N/A</v>
      </c>
      <c r="J28" s="2" t="s">
        <v>40</v>
      </c>
      <c r="K28" s="2"/>
      <c r="L28" s="2" t="s">
        <v>36</v>
      </c>
      <c r="M28" s="2" t="str">
        <f>VLOOKUP(L28,Planilha2!$I$2:$K$100,2,FALSE)</f>
        <v>Lei Orgânica e Regimento Interno</v>
      </c>
      <c r="N28" s="2" t="str">
        <f>VLOOKUP(L28,Planilha2!$I$2:$K$100,3,FALSE)</f>
        <v>Organização e Normas Gerais</v>
      </c>
      <c r="U28" s="2" t="str">
        <f>VLOOKUP(B28,Planilha2!$B$2:$D$100,3,FALSE)</f>
        <v>lei-organica</v>
      </c>
      <c r="V28" s="4" t="e">
        <f t="shared" si="1"/>
        <v>#N/A</v>
      </c>
      <c r="W28" s="8"/>
      <c r="X28" s="4" t="e">
        <f t="shared" si="2"/>
        <v>#N/A</v>
      </c>
      <c r="Y28" s="8"/>
    </row>
    <row r="29" spans="2:25" x14ac:dyDescent="0.25">
      <c r="B29" s="2" t="s">
        <v>36</v>
      </c>
      <c r="C29" s="2" t="str">
        <f>VLOOKUP(B29,Planilha2!$B$2:$C$100,2,FALSE)</f>
        <v>ELO</v>
      </c>
      <c r="D29" s="14">
        <v>27</v>
      </c>
      <c r="E29" s="7"/>
      <c r="H29" s="1">
        <f t="shared" si="0"/>
        <v>1900</v>
      </c>
      <c r="I29" s="1" t="e">
        <f>VLOOKUP(H29,Planilha2!$E$1:$F$100,2,FALSE)</f>
        <v>#N/A</v>
      </c>
      <c r="J29" s="2" t="s">
        <v>40</v>
      </c>
      <c r="K29" s="2"/>
      <c r="L29" s="2" t="s">
        <v>36</v>
      </c>
      <c r="M29" s="2" t="str">
        <f>VLOOKUP(L29,Planilha2!$I$2:$K$100,2,FALSE)</f>
        <v>Lei Orgânica e Regimento Interno</v>
      </c>
      <c r="N29" s="2" t="str">
        <f>VLOOKUP(L29,Planilha2!$I$2:$K$100,3,FALSE)</f>
        <v>Organização e Normas Gerais</v>
      </c>
      <c r="U29" s="2" t="str">
        <f>VLOOKUP(B29,Planilha2!$B$2:$D$100,3,FALSE)</f>
        <v>lei-organica</v>
      </c>
      <c r="V29" s="4" t="e">
        <f t="shared" si="1"/>
        <v>#N/A</v>
      </c>
      <c r="W29" s="8"/>
      <c r="X29" s="4" t="e">
        <f t="shared" si="2"/>
        <v>#N/A</v>
      </c>
      <c r="Y29" s="8"/>
    </row>
    <row r="30" spans="2:25" x14ac:dyDescent="0.25">
      <c r="B30" s="2" t="s">
        <v>36</v>
      </c>
      <c r="C30" s="2" t="str">
        <f>VLOOKUP(B30,Planilha2!$B$2:$C$100,2,FALSE)</f>
        <v>ELO</v>
      </c>
      <c r="D30" s="14">
        <v>28</v>
      </c>
      <c r="E30" s="7"/>
      <c r="H30" s="1">
        <f t="shared" si="0"/>
        <v>1900</v>
      </c>
      <c r="I30" s="1" t="e">
        <f>VLOOKUP(H30,Planilha2!$E$1:$F$100,2,FALSE)</f>
        <v>#N/A</v>
      </c>
      <c r="J30" s="2" t="s">
        <v>40</v>
      </c>
      <c r="K30" s="2"/>
      <c r="L30" s="2" t="s">
        <v>36</v>
      </c>
      <c r="M30" s="2" t="str">
        <f>VLOOKUP(L30,Planilha2!$I$2:$K$100,2,FALSE)</f>
        <v>Lei Orgânica e Regimento Interno</v>
      </c>
      <c r="N30" s="2" t="str">
        <f>VLOOKUP(L30,Planilha2!$I$2:$K$100,3,FALSE)</f>
        <v>Organização e Normas Gerais</v>
      </c>
      <c r="U30" s="2" t="str">
        <f>VLOOKUP(B30,Planilha2!$B$2:$D$100,3,FALSE)</f>
        <v>lei-organica</v>
      </c>
      <c r="V30" s="4" t="e">
        <f t="shared" si="1"/>
        <v>#N/A</v>
      </c>
      <c r="W30" s="8"/>
      <c r="X30" s="4" t="e">
        <f t="shared" si="2"/>
        <v>#N/A</v>
      </c>
      <c r="Y30" s="8"/>
    </row>
    <row r="31" spans="2:25" x14ac:dyDescent="0.25">
      <c r="B31" s="2" t="s">
        <v>36</v>
      </c>
      <c r="C31" s="2" t="str">
        <f>VLOOKUP(B31,Planilha2!$B$2:$C$100,2,FALSE)</f>
        <v>ELO</v>
      </c>
      <c r="D31" s="14">
        <v>29</v>
      </c>
      <c r="E31" s="7"/>
      <c r="H31" s="1">
        <f t="shared" si="0"/>
        <v>1900</v>
      </c>
      <c r="I31" s="1" t="e">
        <f>VLOOKUP(H31,Planilha2!$E$1:$F$100,2,FALSE)</f>
        <v>#N/A</v>
      </c>
      <c r="J31" s="2" t="s">
        <v>40</v>
      </c>
      <c r="K31" s="2"/>
      <c r="L31" s="2" t="s">
        <v>36</v>
      </c>
      <c r="M31" s="2" t="str">
        <f>VLOOKUP(L31,Planilha2!$I$2:$K$100,2,FALSE)</f>
        <v>Lei Orgânica e Regimento Interno</v>
      </c>
      <c r="N31" s="2" t="str">
        <f>VLOOKUP(L31,Planilha2!$I$2:$K$100,3,FALSE)</f>
        <v>Organização e Normas Gerais</v>
      </c>
      <c r="U31" s="2" t="str">
        <f>VLOOKUP(B31,Planilha2!$B$2:$D$100,3,FALSE)</f>
        <v>lei-organica</v>
      </c>
      <c r="V31" s="4" t="e">
        <f t="shared" si="1"/>
        <v>#N/A</v>
      </c>
      <c r="W31" s="8"/>
      <c r="X31" s="4" t="e">
        <f t="shared" si="2"/>
        <v>#N/A</v>
      </c>
      <c r="Y31" s="8"/>
    </row>
    <row r="32" spans="2:25" x14ac:dyDescent="0.25">
      <c r="B32" s="2" t="s">
        <v>36</v>
      </c>
      <c r="C32" s="2" t="str">
        <f>VLOOKUP(B32,Planilha2!$B$2:$C$100,2,FALSE)</f>
        <v>ELO</v>
      </c>
      <c r="D32" s="14">
        <v>30</v>
      </c>
      <c r="E32" s="7"/>
      <c r="H32" s="1">
        <f t="shared" si="0"/>
        <v>1900</v>
      </c>
      <c r="I32" s="1" t="e">
        <f>VLOOKUP(H32,Planilha2!$E$1:$F$100,2,FALSE)</f>
        <v>#N/A</v>
      </c>
      <c r="J32" s="2" t="s">
        <v>40</v>
      </c>
      <c r="K32" s="2"/>
      <c r="L32" s="2" t="s">
        <v>36</v>
      </c>
      <c r="M32" s="2" t="str">
        <f>VLOOKUP(L32,Planilha2!$I$2:$K$100,2,FALSE)</f>
        <v>Lei Orgânica e Regimento Interno</v>
      </c>
      <c r="N32" s="2" t="str">
        <f>VLOOKUP(L32,Planilha2!$I$2:$K$100,3,FALSE)</f>
        <v>Organização e Normas Gerais</v>
      </c>
      <c r="U32" s="2" t="str">
        <f>VLOOKUP(B32,Planilha2!$B$2:$D$100,3,FALSE)</f>
        <v>lei-organica</v>
      </c>
      <c r="V32" s="4" t="e">
        <f t="shared" si="1"/>
        <v>#N/A</v>
      </c>
      <c r="W32" s="8"/>
      <c r="X32" s="4" t="e">
        <f t="shared" si="2"/>
        <v>#N/A</v>
      </c>
      <c r="Y32" s="8"/>
    </row>
    <row r="33" spans="2:25" x14ac:dyDescent="0.25">
      <c r="B33" s="2" t="s">
        <v>36</v>
      </c>
      <c r="C33" s="2" t="str">
        <f>VLOOKUP(B33,Planilha2!$B$2:$C$100,2,FALSE)</f>
        <v>ELO</v>
      </c>
      <c r="D33" s="14">
        <v>31</v>
      </c>
      <c r="E33" s="7"/>
      <c r="H33" s="1">
        <f t="shared" si="0"/>
        <v>1900</v>
      </c>
      <c r="I33" s="1" t="e">
        <f>VLOOKUP(H33,Planilha2!$E$1:$F$100,2,FALSE)</f>
        <v>#N/A</v>
      </c>
      <c r="J33" s="2" t="s">
        <v>40</v>
      </c>
      <c r="K33" s="2"/>
      <c r="L33" s="2" t="s">
        <v>36</v>
      </c>
      <c r="M33" s="2" t="str">
        <f>VLOOKUP(L33,Planilha2!$I$2:$K$100,2,FALSE)</f>
        <v>Lei Orgânica e Regimento Interno</v>
      </c>
      <c r="N33" s="2" t="str">
        <f>VLOOKUP(L33,Planilha2!$I$2:$K$100,3,FALSE)</f>
        <v>Organização e Normas Gerais</v>
      </c>
      <c r="U33" s="2" t="str">
        <f>VLOOKUP(B33,Planilha2!$B$2:$D$100,3,FALSE)</f>
        <v>lei-organica</v>
      </c>
      <c r="V33" s="4" t="e">
        <f t="shared" si="1"/>
        <v>#N/A</v>
      </c>
      <c r="W33" s="8"/>
      <c r="X33" s="4" t="e">
        <f t="shared" si="2"/>
        <v>#N/A</v>
      </c>
      <c r="Y33" s="8"/>
    </row>
    <row r="34" spans="2:25" x14ac:dyDescent="0.25">
      <c r="B34" s="2" t="s">
        <v>36</v>
      </c>
      <c r="C34" s="2" t="str">
        <f>VLOOKUP(B34,Planilha2!$B$2:$C$100,2,FALSE)</f>
        <v>ELO</v>
      </c>
      <c r="D34" s="14">
        <v>32</v>
      </c>
      <c r="E34" s="7"/>
      <c r="H34" s="1">
        <f t="shared" si="0"/>
        <v>1900</v>
      </c>
      <c r="I34" s="1" t="e">
        <f>VLOOKUP(H34,Planilha2!$E$1:$F$100,2,FALSE)</f>
        <v>#N/A</v>
      </c>
      <c r="J34" s="2" t="s">
        <v>40</v>
      </c>
      <c r="K34" s="2"/>
      <c r="L34" s="2" t="s">
        <v>36</v>
      </c>
      <c r="M34" s="2" t="str">
        <f>VLOOKUP(L34,Planilha2!$I$2:$K$100,2,FALSE)</f>
        <v>Lei Orgânica e Regimento Interno</v>
      </c>
      <c r="N34" s="2" t="str">
        <f>VLOOKUP(L34,Planilha2!$I$2:$K$100,3,FALSE)</f>
        <v>Organização e Normas Gerais</v>
      </c>
      <c r="U34" s="2" t="str">
        <f>VLOOKUP(B34,Planilha2!$B$2:$D$100,3,FALSE)</f>
        <v>lei-organica</v>
      </c>
      <c r="V34" s="4" t="e">
        <f t="shared" si="1"/>
        <v>#N/A</v>
      </c>
      <c r="W34" s="8"/>
      <c r="X34" s="4" t="e">
        <f t="shared" si="2"/>
        <v>#N/A</v>
      </c>
      <c r="Y34" s="8"/>
    </row>
    <row r="35" spans="2:25" x14ac:dyDescent="0.25">
      <c r="B35" s="2" t="s">
        <v>36</v>
      </c>
      <c r="C35" s="2" t="str">
        <f>VLOOKUP(B35,Planilha2!$B$2:$C$100,2,FALSE)</f>
        <v>ELO</v>
      </c>
      <c r="D35" s="14">
        <v>33</v>
      </c>
      <c r="E35" s="7"/>
      <c r="H35" s="1">
        <f t="shared" si="0"/>
        <v>1900</v>
      </c>
      <c r="I35" s="1" t="e">
        <f>VLOOKUP(H35,Planilha2!$E$1:$F$100,2,FALSE)</f>
        <v>#N/A</v>
      </c>
      <c r="J35" s="2" t="s">
        <v>40</v>
      </c>
      <c r="K35" s="2"/>
      <c r="L35" s="2" t="s">
        <v>36</v>
      </c>
      <c r="M35" s="2" t="str">
        <f>VLOOKUP(L35,Planilha2!$I$2:$K$100,2,FALSE)</f>
        <v>Lei Orgânica e Regimento Interno</v>
      </c>
      <c r="N35" s="2" t="str">
        <f>VLOOKUP(L35,Planilha2!$I$2:$K$100,3,FALSE)</f>
        <v>Organização e Normas Gerais</v>
      </c>
      <c r="U35" s="2" t="str">
        <f>VLOOKUP(B35,Planilha2!$B$2:$D$100,3,FALSE)</f>
        <v>lei-organica</v>
      </c>
      <c r="V35" s="4" t="e">
        <f t="shared" si="1"/>
        <v>#N/A</v>
      </c>
      <c r="W35" s="8"/>
      <c r="X35" s="4" t="e">
        <f t="shared" si="2"/>
        <v>#N/A</v>
      </c>
      <c r="Y35" s="8"/>
    </row>
    <row r="36" spans="2:25" x14ac:dyDescent="0.25">
      <c r="B36" s="2" t="s">
        <v>36</v>
      </c>
      <c r="C36" s="2" t="str">
        <f>VLOOKUP(B36,Planilha2!$B$2:$C$100,2,FALSE)</f>
        <v>ELO</v>
      </c>
      <c r="D36" s="14">
        <v>34</v>
      </c>
      <c r="E36" s="7"/>
      <c r="H36" s="1">
        <f t="shared" si="0"/>
        <v>1900</v>
      </c>
      <c r="I36" s="1" t="e">
        <f>VLOOKUP(H36,Planilha2!$E$1:$F$100,2,FALSE)</f>
        <v>#N/A</v>
      </c>
      <c r="J36" s="2" t="s">
        <v>40</v>
      </c>
      <c r="K36" s="2"/>
      <c r="L36" s="2" t="s">
        <v>36</v>
      </c>
      <c r="M36" s="2" t="str">
        <f>VLOOKUP(L36,Planilha2!$I$2:$K$100,2,FALSE)</f>
        <v>Lei Orgânica e Regimento Interno</v>
      </c>
      <c r="N36" s="2" t="str">
        <f>VLOOKUP(L36,Planilha2!$I$2:$K$100,3,FALSE)</f>
        <v>Organização e Normas Gerais</v>
      </c>
      <c r="U36" s="2" t="str">
        <f>VLOOKUP(B36,Planilha2!$B$2:$D$100,3,FALSE)</f>
        <v>lei-organica</v>
      </c>
      <c r="V36" s="4" t="e">
        <f t="shared" si="1"/>
        <v>#N/A</v>
      </c>
      <c r="W36" s="8"/>
      <c r="X36" s="4" t="e">
        <f t="shared" si="2"/>
        <v>#N/A</v>
      </c>
      <c r="Y36" s="8"/>
    </row>
    <row r="37" spans="2:25" x14ac:dyDescent="0.25">
      <c r="B37" s="2" t="s">
        <v>36</v>
      </c>
      <c r="C37" s="2" t="str">
        <f>VLOOKUP(B37,Planilha2!$B$2:$C$100,2,FALSE)</f>
        <v>ELO</v>
      </c>
      <c r="D37" s="14">
        <v>35</v>
      </c>
      <c r="E37" s="7"/>
      <c r="H37" s="1">
        <f t="shared" si="0"/>
        <v>1900</v>
      </c>
      <c r="I37" s="1" t="e">
        <f>VLOOKUP(H37,Planilha2!$E$1:$F$100,2,FALSE)</f>
        <v>#N/A</v>
      </c>
      <c r="J37" s="2" t="s">
        <v>40</v>
      </c>
      <c r="K37" s="2"/>
      <c r="L37" s="2" t="s">
        <v>36</v>
      </c>
      <c r="M37" s="2" t="str">
        <f>VLOOKUP(L37,Planilha2!$I$2:$K$100,2,FALSE)</f>
        <v>Lei Orgânica e Regimento Interno</v>
      </c>
      <c r="N37" s="2" t="str">
        <f>VLOOKUP(L37,Planilha2!$I$2:$K$100,3,FALSE)</f>
        <v>Organização e Normas Gerais</v>
      </c>
      <c r="U37" s="2" t="str">
        <f>VLOOKUP(B37,Planilha2!$B$2:$D$100,3,FALSE)</f>
        <v>lei-organica</v>
      </c>
      <c r="V37" s="4" t="e">
        <f t="shared" si="1"/>
        <v>#N/A</v>
      </c>
      <c r="W37" s="8"/>
      <c r="X37" s="4" t="e">
        <f t="shared" si="2"/>
        <v>#N/A</v>
      </c>
      <c r="Y37" s="8"/>
    </row>
    <row r="38" spans="2:25" x14ac:dyDescent="0.25">
      <c r="B38" s="2" t="s">
        <v>36</v>
      </c>
      <c r="C38" s="2" t="str">
        <f>VLOOKUP(B38,Planilha2!$B$2:$C$100,2,FALSE)</f>
        <v>ELO</v>
      </c>
      <c r="D38" s="14">
        <v>36</v>
      </c>
      <c r="E38" s="7"/>
      <c r="H38" s="1">
        <f t="shared" si="0"/>
        <v>1900</v>
      </c>
      <c r="I38" s="1" t="e">
        <f>VLOOKUP(H38,Planilha2!$E$1:$F$100,2,FALSE)</f>
        <v>#N/A</v>
      </c>
      <c r="J38" s="2" t="s">
        <v>40</v>
      </c>
      <c r="K38" s="2"/>
      <c r="L38" s="2" t="s">
        <v>36</v>
      </c>
      <c r="M38" s="2" t="str">
        <f>VLOOKUP(L38,Planilha2!$I$2:$K$100,2,FALSE)</f>
        <v>Lei Orgânica e Regimento Interno</v>
      </c>
      <c r="N38" s="2" t="str">
        <f>VLOOKUP(L38,Planilha2!$I$2:$K$100,3,FALSE)</f>
        <v>Organização e Normas Gerais</v>
      </c>
      <c r="U38" s="2" t="str">
        <f>VLOOKUP(B38,Planilha2!$B$2:$D$100,3,FALSE)</f>
        <v>lei-organica</v>
      </c>
      <c r="V38" s="4" t="e">
        <f t="shared" si="1"/>
        <v>#N/A</v>
      </c>
      <c r="W38" s="8"/>
      <c r="X38" s="4" t="e">
        <f t="shared" si="2"/>
        <v>#N/A</v>
      </c>
      <c r="Y38" s="8"/>
    </row>
    <row r="39" spans="2:25" x14ac:dyDescent="0.25">
      <c r="B39" s="2" t="s">
        <v>36</v>
      </c>
      <c r="C39" s="2" t="str">
        <f>VLOOKUP(B39,Planilha2!$B$2:$C$100,2,FALSE)</f>
        <v>ELO</v>
      </c>
      <c r="D39" s="14">
        <v>37</v>
      </c>
      <c r="E39" s="7"/>
      <c r="H39" s="1">
        <f t="shared" si="0"/>
        <v>1900</v>
      </c>
      <c r="I39" s="1" t="e">
        <f>VLOOKUP(H39,Planilha2!$E$1:$F$100,2,FALSE)</f>
        <v>#N/A</v>
      </c>
      <c r="J39" s="2" t="s">
        <v>40</v>
      </c>
      <c r="K39" s="2"/>
      <c r="L39" s="2" t="s">
        <v>36</v>
      </c>
      <c r="M39" s="2" t="str">
        <f>VLOOKUP(L39,Planilha2!$I$2:$K$100,2,FALSE)</f>
        <v>Lei Orgânica e Regimento Interno</v>
      </c>
      <c r="N39" s="2" t="str">
        <f>VLOOKUP(L39,Planilha2!$I$2:$K$100,3,FALSE)</f>
        <v>Organização e Normas Gerais</v>
      </c>
      <c r="U39" s="2" t="str">
        <f>VLOOKUP(B39,Planilha2!$B$2:$D$100,3,FALSE)</f>
        <v>lei-organica</v>
      </c>
      <c r="V39" s="4" t="e">
        <f t="shared" si="1"/>
        <v>#N/A</v>
      </c>
      <c r="W39" s="8"/>
      <c r="X39" s="4" t="e">
        <f t="shared" si="2"/>
        <v>#N/A</v>
      </c>
      <c r="Y39" s="8"/>
    </row>
    <row r="40" spans="2:25" x14ac:dyDescent="0.25">
      <c r="B40" s="2" t="s">
        <v>36</v>
      </c>
      <c r="C40" s="2" t="str">
        <f>VLOOKUP(B40,Planilha2!$B$2:$C$100,2,FALSE)</f>
        <v>ELO</v>
      </c>
      <c r="D40" s="14">
        <v>38</v>
      </c>
      <c r="E40" s="7"/>
      <c r="H40" s="1">
        <f t="shared" si="0"/>
        <v>1900</v>
      </c>
      <c r="I40" s="1" t="e">
        <f>VLOOKUP(H40,Planilha2!$E$1:$F$100,2,FALSE)</f>
        <v>#N/A</v>
      </c>
      <c r="J40" s="2" t="s">
        <v>40</v>
      </c>
      <c r="K40" s="2"/>
      <c r="L40" s="2" t="s">
        <v>36</v>
      </c>
      <c r="M40" s="2" t="str">
        <f>VLOOKUP(L40,Planilha2!$I$2:$K$100,2,FALSE)</f>
        <v>Lei Orgânica e Regimento Interno</v>
      </c>
      <c r="N40" s="2" t="str">
        <f>VLOOKUP(L40,Planilha2!$I$2:$K$100,3,FALSE)</f>
        <v>Organização e Normas Gerais</v>
      </c>
      <c r="U40" s="2" t="str">
        <f>VLOOKUP(B40,Planilha2!$B$2:$D$100,3,FALSE)</f>
        <v>lei-organica</v>
      </c>
      <c r="V40" s="4" t="e">
        <f t="shared" ref="V40:V73" si="3">"/legislatura/" &amp; I40 &amp; "/" &amp; H40 &amp; "/" &amp; U40 &amp; "/" &amp; C40 &amp; "-" &amp; TEXT(D40,"00000") &amp; "-" &amp; H40 &amp; ".md"</f>
        <v>#N/A</v>
      </c>
      <c r="W40" s="8"/>
      <c r="X40" s="4" t="e">
        <f t="shared" ref="X40:X73" si="4">"/legislatura/" &amp; I40 &amp; "/" &amp; H40 &amp; "/" &amp; U40 &amp; "/" &amp; C40 &amp; "-" &amp; TEXT(D40,"00000") &amp; "-" &amp; H40 &amp; "c.md"</f>
        <v>#N/A</v>
      </c>
      <c r="Y40" s="8"/>
    </row>
    <row r="41" spans="2:25" x14ac:dyDescent="0.25">
      <c r="B41" s="2" t="s">
        <v>36</v>
      </c>
      <c r="C41" s="2" t="str">
        <f>VLOOKUP(B41,Planilha2!$B$2:$C$100,2,FALSE)</f>
        <v>ELO</v>
      </c>
      <c r="D41" s="14">
        <v>39</v>
      </c>
      <c r="E41" s="7"/>
      <c r="H41" s="1">
        <f t="shared" si="0"/>
        <v>1900</v>
      </c>
      <c r="I41" s="1" t="e">
        <f>VLOOKUP(H41,Planilha2!$E$1:$F$100,2,FALSE)</f>
        <v>#N/A</v>
      </c>
      <c r="J41" s="2" t="s">
        <v>40</v>
      </c>
      <c r="K41" s="2"/>
      <c r="L41" s="2" t="s">
        <v>36</v>
      </c>
      <c r="M41" s="2" t="str">
        <f>VLOOKUP(L41,Planilha2!$I$2:$K$100,2,FALSE)</f>
        <v>Lei Orgânica e Regimento Interno</v>
      </c>
      <c r="N41" s="2" t="str">
        <f>VLOOKUP(L41,Planilha2!$I$2:$K$100,3,FALSE)</f>
        <v>Organização e Normas Gerais</v>
      </c>
      <c r="U41" s="2" t="str">
        <f>VLOOKUP(B41,Planilha2!$B$2:$D$100,3,FALSE)</f>
        <v>lei-organica</v>
      </c>
      <c r="V41" s="4" t="e">
        <f t="shared" si="3"/>
        <v>#N/A</v>
      </c>
      <c r="W41" s="8"/>
      <c r="X41" s="4" t="e">
        <f t="shared" si="4"/>
        <v>#N/A</v>
      </c>
      <c r="Y41" s="8"/>
    </row>
    <row r="42" spans="2:25" x14ac:dyDescent="0.25">
      <c r="B42" s="2" t="s">
        <v>36</v>
      </c>
      <c r="C42" s="2" t="str">
        <f>VLOOKUP(B42,Planilha2!$B$2:$C$100,2,FALSE)</f>
        <v>ELO</v>
      </c>
      <c r="D42" s="14">
        <v>40</v>
      </c>
      <c r="E42" s="7"/>
      <c r="H42" s="1">
        <f t="shared" si="0"/>
        <v>1900</v>
      </c>
      <c r="I42" s="1" t="e">
        <f>VLOOKUP(H42,Planilha2!$E$1:$F$100,2,FALSE)</f>
        <v>#N/A</v>
      </c>
      <c r="J42" s="2" t="s">
        <v>40</v>
      </c>
      <c r="K42" s="2"/>
      <c r="L42" s="2" t="s">
        <v>36</v>
      </c>
      <c r="M42" s="2" t="str">
        <f>VLOOKUP(L42,Planilha2!$I$2:$K$100,2,FALSE)</f>
        <v>Lei Orgânica e Regimento Interno</v>
      </c>
      <c r="N42" s="2" t="str">
        <f>VLOOKUP(L42,Planilha2!$I$2:$K$100,3,FALSE)</f>
        <v>Organização e Normas Gerais</v>
      </c>
      <c r="U42" s="2" t="str">
        <f>VLOOKUP(B42,Planilha2!$B$2:$D$100,3,FALSE)</f>
        <v>lei-organica</v>
      </c>
      <c r="V42" s="4" t="e">
        <f t="shared" si="3"/>
        <v>#N/A</v>
      </c>
      <c r="W42" s="8"/>
      <c r="X42" s="4" t="e">
        <f t="shared" si="4"/>
        <v>#N/A</v>
      </c>
      <c r="Y42" s="8"/>
    </row>
    <row r="43" spans="2:25" x14ac:dyDescent="0.25">
      <c r="B43" s="2" t="s">
        <v>36</v>
      </c>
      <c r="C43" s="2" t="str">
        <f>VLOOKUP(B43,Planilha2!$B$2:$C$100,2,FALSE)</f>
        <v>ELO</v>
      </c>
      <c r="D43" s="14">
        <v>41</v>
      </c>
      <c r="E43" s="7"/>
      <c r="H43" s="1">
        <f t="shared" si="0"/>
        <v>1900</v>
      </c>
      <c r="I43" s="1" t="e">
        <f>VLOOKUP(H43,Planilha2!$E$1:$F$100,2,FALSE)</f>
        <v>#N/A</v>
      </c>
      <c r="J43" s="2" t="s">
        <v>40</v>
      </c>
      <c r="K43" s="2"/>
      <c r="L43" s="2" t="s">
        <v>36</v>
      </c>
      <c r="M43" s="2" t="str">
        <f>VLOOKUP(L43,Planilha2!$I$2:$K$100,2,FALSE)</f>
        <v>Lei Orgânica e Regimento Interno</v>
      </c>
      <c r="N43" s="2" t="str">
        <f>VLOOKUP(L43,Planilha2!$I$2:$K$100,3,FALSE)</f>
        <v>Organização e Normas Gerais</v>
      </c>
      <c r="U43" s="2" t="str">
        <f>VLOOKUP(B43,Planilha2!$B$2:$D$100,3,FALSE)</f>
        <v>lei-organica</v>
      </c>
      <c r="V43" s="4" t="e">
        <f t="shared" si="3"/>
        <v>#N/A</v>
      </c>
      <c r="W43" s="8"/>
      <c r="X43" s="4" t="e">
        <f t="shared" si="4"/>
        <v>#N/A</v>
      </c>
      <c r="Y43" s="8"/>
    </row>
    <row r="44" spans="2:25" x14ac:dyDescent="0.25">
      <c r="B44" s="2" t="s">
        <v>36</v>
      </c>
      <c r="C44" s="2" t="str">
        <f>VLOOKUP(B44,Planilha2!$B$2:$C$100,2,FALSE)</f>
        <v>ELO</v>
      </c>
      <c r="D44" s="14">
        <v>42</v>
      </c>
      <c r="E44" s="7"/>
      <c r="H44" s="1">
        <f t="shared" si="0"/>
        <v>1900</v>
      </c>
      <c r="I44" s="1" t="e">
        <f>VLOOKUP(H44,Planilha2!$E$1:$F$100,2,FALSE)</f>
        <v>#N/A</v>
      </c>
      <c r="J44" s="2" t="s">
        <v>40</v>
      </c>
      <c r="K44" s="2"/>
      <c r="L44" s="2" t="s">
        <v>36</v>
      </c>
      <c r="M44" s="2" t="str">
        <f>VLOOKUP(L44,Planilha2!$I$2:$K$100,2,FALSE)</f>
        <v>Lei Orgânica e Regimento Interno</v>
      </c>
      <c r="N44" s="2" t="str">
        <f>VLOOKUP(L44,Planilha2!$I$2:$K$100,3,FALSE)</f>
        <v>Organização e Normas Gerais</v>
      </c>
      <c r="U44" s="2" t="str">
        <f>VLOOKUP(B44,Planilha2!$B$2:$D$100,3,FALSE)</f>
        <v>lei-organica</v>
      </c>
      <c r="V44" s="4" t="e">
        <f t="shared" si="3"/>
        <v>#N/A</v>
      </c>
      <c r="W44" s="8"/>
      <c r="X44" s="4" t="e">
        <f t="shared" si="4"/>
        <v>#N/A</v>
      </c>
      <c r="Y44" s="8"/>
    </row>
    <row r="45" spans="2:25" x14ac:dyDescent="0.25">
      <c r="B45" s="2" t="s">
        <v>36</v>
      </c>
      <c r="C45" s="2" t="str">
        <f>VLOOKUP(B45,Planilha2!$B$2:$C$100,2,FALSE)</f>
        <v>ELO</v>
      </c>
      <c r="D45" s="14">
        <v>43</v>
      </c>
      <c r="E45" s="7"/>
      <c r="H45" s="1">
        <f t="shared" si="0"/>
        <v>1900</v>
      </c>
      <c r="I45" s="1" t="e">
        <f>VLOOKUP(H45,Planilha2!$E$1:$F$100,2,FALSE)</f>
        <v>#N/A</v>
      </c>
      <c r="J45" s="2" t="s">
        <v>40</v>
      </c>
      <c r="K45" s="2"/>
      <c r="L45" s="2" t="s">
        <v>36</v>
      </c>
      <c r="M45" s="2" t="str">
        <f>VLOOKUP(L45,Planilha2!$I$2:$K$100,2,FALSE)</f>
        <v>Lei Orgânica e Regimento Interno</v>
      </c>
      <c r="N45" s="2" t="str">
        <f>VLOOKUP(L45,Planilha2!$I$2:$K$100,3,FALSE)</f>
        <v>Organização e Normas Gerais</v>
      </c>
      <c r="U45" s="2" t="str">
        <f>VLOOKUP(B45,Planilha2!$B$2:$D$100,3,FALSE)</f>
        <v>lei-organica</v>
      </c>
      <c r="V45" s="4" t="e">
        <f t="shared" si="3"/>
        <v>#N/A</v>
      </c>
      <c r="W45" s="8"/>
      <c r="X45" s="4" t="e">
        <f t="shared" si="4"/>
        <v>#N/A</v>
      </c>
      <c r="Y45" s="8"/>
    </row>
    <row r="46" spans="2:25" x14ac:dyDescent="0.25">
      <c r="B46" s="2" t="s">
        <v>36</v>
      </c>
      <c r="C46" s="2" t="str">
        <f>VLOOKUP(B46,Planilha2!$B$2:$C$100,2,FALSE)</f>
        <v>ELO</v>
      </c>
      <c r="D46" s="14">
        <v>44</v>
      </c>
      <c r="E46" s="7"/>
      <c r="H46" s="1">
        <f t="shared" si="0"/>
        <v>1900</v>
      </c>
      <c r="I46" s="1" t="e">
        <f>VLOOKUP(H46,Planilha2!$E$1:$F$100,2,FALSE)</f>
        <v>#N/A</v>
      </c>
      <c r="J46" s="2" t="s">
        <v>40</v>
      </c>
      <c r="K46" s="2"/>
      <c r="L46" s="2" t="s">
        <v>36</v>
      </c>
      <c r="M46" s="2" t="str">
        <f>VLOOKUP(L46,Planilha2!$I$2:$K$100,2,FALSE)</f>
        <v>Lei Orgânica e Regimento Interno</v>
      </c>
      <c r="N46" s="2" t="str">
        <f>VLOOKUP(L46,Planilha2!$I$2:$K$100,3,FALSE)</f>
        <v>Organização e Normas Gerais</v>
      </c>
      <c r="U46" s="2" t="str">
        <f>VLOOKUP(B46,Planilha2!$B$2:$D$100,3,FALSE)</f>
        <v>lei-organica</v>
      </c>
      <c r="V46" s="4" t="e">
        <f t="shared" si="3"/>
        <v>#N/A</v>
      </c>
      <c r="W46" s="8"/>
      <c r="X46" s="4" t="e">
        <f t="shared" si="4"/>
        <v>#N/A</v>
      </c>
      <c r="Y46" s="8"/>
    </row>
    <row r="47" spans="2:25" x14ac:dyDescent="0.25">
      <c r="B47" s="2" t="s">
        <v>36</v>
      </c>
      <c r="C47" s="2" t="str">
        <f>VLOOKUP(B47,Planilha2!$B$2:$C$100,2,FALSE)</f>
        <v>ELO</v>
      </c>
      <c r="D47" s="14">
        <v>45</v>
      </c>
      <c r="E47" s="7"/>
      <c r="H47" s="1">
        <f t="shared" si="0"/>
        <v>1900</v>
      </c>
      <c r="I47" s="1" t="e">
        <f>VLOOKUP(H47,Planilha2!$E$1:$F$100,2,FALSE)</f>
        <v>#N/A</v>
      </c>
      <c r="J47" s="2" t="s">
        <v>40</v>
      </c>
      <c r="K47" s="2"/>
      <c r="L47" s="2" t="s">
        <v>36</v>
      </c>
      <c r="M47" s="2" t="str">
        <f>VLOOKUP(L47,Planilha2!$I$2:$K$100,2,FALSE)</f>
        <v>Lei Orgânica e Regimento Interno</v>
      </c>
      <c r="N47" s="2" t="str">
        <f>VLOOKUP(L47,Planilha2!$I$2:$K$100,3,FALSE)</f>
        <v>Organização e Normas Gerais</v>
      </c>
      <c r="U47" s="2" t="str">
        <f>VLOOKUP(B47,Planilha2!$B$2:$D$100,3,FALSE)</f>
        <v>lei-organica</v>
      </c>
      <c r="V47" s="4" t="e">
        <f t="shared" si="3"/>
        <v>#N/A</v>
      </c>
      <c r="W47" s="8"/>
      <c r="X47" s="4" t="e">
        <f t="shared" si="4"/>
        <v>#N/A</v>
      </c>
      <c r="Y47" s="8"/>
    </row>
    <row r="48" spans="2:25" x14ac:dyDescent="0.25">
      <c r="B48" s="2" t="s">
        <v>36</v>
      </c>
      <c r="C48" s="2" t="str">
        <f>VLOOKUP(B48,Planilha2!$B$2:$C$100,2,FALSE)</f>
        <v>ELO</v>
      </c>
      <c r="D48" s="14">
        <v>46</v>
      </c>
      <c r="E48" s="7"/>
      <c r="H48" s="1">
        <f t="shared" si="0"/>
        <v>1900</v>
      </c>
      <c r="I48" s="1" t="e">
        <f>VLOOKUP(H48,Planilha2!$E$1:$F$100,2,FALSE)</f>
        <v>#N/A</v>
      </c>
      <c r="J48" s="2" t="s">
        <v>40</v>
      </c>
      <c r="K48" s="2"/>
      <c r="L48" s="2" t="s">
        <v>36</v>
      </c>
      <c r="M48" s="2" t="str">
        <f>VLOOKUP(L48,Planilha2!$I$2:$K$100,2,FALSE)</f>
        <v>Lei Orgânica e Regimento Interno</v>
      </c>
      <c r="N48" s="2" t="str">
        <f>VLOOKUP(L48,Planilha2!$I$2:$K$100,3,FALSE)</f>
        <v>Organização e Normas Gerais</v>
      </c>
      <c r="U48" s="2" t="str">
        <f>VLOOKUP(B48,Planilha2!$B$2:$D$100,3,FALSE)</f>
        <v>lei-organica</v>
      </c>
      <c r="V48" s="4" t="e">
        <f t="shared" si="3"/>
        <v>#N/A</v>
      </c>
      <c r="W48" s="8"/>
      <c r="X48" s="4" t="e">
        <f t="shared" si="4"/>
        <v>#N/A</v>
      </c>
      <c r="Y48" s="8"/>
    </row>
    <row r="49" spans="2:25" x14ac:dyDescent="0.25">
      <c r="B49" s="2" t="s">
        <v>36</v>
      </c>
      <c r="C49" s="2" t="str">
        <f>VLOOKUP(B49,Planilha2!$B$2:$C$100,2,FALSE)</f>
        <v>ELO</v>
      </c>
      <c r="D49" s="14">
        <v>47</v>
      </c>
      <c r="E49" s="7"/>
      <c r="H49" s="1">
        <f t="shared" si="0"/>
        <v>1900</v>
      </c>
      <c r="I49" s="1" t="e">
        <f>VLOOKUP(H49,Planilha2!$E$1:$F$100,2,FALSE)</f>
        <v>#N/A</v>
      </c>
      <c r="J49" s="2" t="s">
        <v>40</v>
      </c>
      <c r="K49" s="2"/>
      <c r="L49" s="2" t="s">
        <v>36</v>
      </c>
      <c r="M49" s="2" t="str">
        <f>VLOOKUP(L49,Planilha2!$I$2:$K$100,2,FALSE)</f>
        <v>Lei Orgânica e Regimento Interno</v>
      </c>
      <c r="N49" s="2" t="str">
        <f>VLOOKUP(L49,Planilha2!$I$2:$K$100,3,FALSE)</f>
        <v>Organização e Normas Gerais</v>
      </c>
      <c r="U49" s="2" t="str">
        <f>VLOOKUP(B49,Planilha2!$B$2:$D$100,3,FALSE)</f>
        <v>lei-organica</v>
      </c>
      <c r="V49" s="4" t="e">
        <f t="shared" si="3"/>
        <v>#N/A</v>
      </c>
      <c r="W49" s="8"/>
      <c r="X49" s="4" t="e">
        <f t="shared" si="4"/>
        <v>#N/A</v>
      </c>
      <c r="Y49" s="8"/>
    </row>
    <row r="50" spans="2:25" x14ac:dyDescent="0.25">
      <c r="B50" s="2" t="s">
        <v>36</v>
      </c>
      <c r="C50" s="2" t="str">
        <f>VLOOKUP(B50,Planilha2!$B$2:$C$100,2,FALSE)</f>
        <v>ELO</v>
      </c>
      <c r="D50" s="14">
        <v>48</v>
      </c>
      <c r="E50" s="7"/>
      <c r="H50" s="1">
        <f t="shared" si="0"/>
        <v>1900</v>
      </c>
      <c r="I50" s="1" t="e">
        <f>VLOOKUP(H50,Planilha2!$E$1:$F$100,2,FALSE)</f>
        <v>#N/A</v>
      </c>
      <c r="J50" s="2" t="s">
        <v>40</v>
      </c>
      <c r="K50" s="2"/>
      <c r="L50" s="2" t="s">
        <v>36</v>
      </c>
      <c r="M50" s="2" t="str">
        <f>VLOOKUP(L50,Planilha2!$I$2:$K$100,2,FALSE)</f>
        <v>Lei Orgânica e Regimento Interno</v>
      </c>
      <c r="N50" s="2" t="str">
        <f>VLOOKUP(L50,Planilha2!$I$2:$K$100,3,FALSE)</f>
        <v>Organização e Normas Gerais</v>
      </c>
      <c r="U50" s="2" t="str">
        <f>VLOOKUP(B50,Planilha2!$B$2:$D$100,3,FALSE)</f>
        <v>lei-organica</v>
      </c>
      <c r="V50" s="4" t="e">
        <f t="shared" si="3"/>
        <v>#N/A</v>
      </c>
      <c r="W50" s="8"/>
      <c r="X50" s="4" t="e">
        <f t="shared" si="4"/>
        <v>#N/A</v>
      </c>
      <c r="Y50" s="8"/>
    </row>
    <row r="51" spans="2:25" x14ac:dyDescent="0.25">
      <c r="B51" s="2" t="s">
        <v>36</v>
      </c>
      <c r="C51" s="2" t="str">
        <f>VLOOKUP(B51,Planilha2!$B$2:$C$100,2,FALSE)</f>
        <v>ELO</v>
      </c>
      <c r="D51" s="14">
        <v>49</v>
      </c>
      <c r="E51" s="7"/>
      <c r="H51" s="1">
        <f t="shared" si="0"/>
        <v>1900</v>
      </c>
      <c r="I51" s="1" t="e">
        <f>VLOOKUP(H51,Planilha2!$E$1:$F$100,2,FALSE)</f>
        <v>#N/A</v>
      </c>
      <c r="J51" s="2" t="s">
        <v>40</v>
      </c>
      <c r="K51" s="2"/>
      <c r="L51" s="2" t="s">
        <v>36</v>
      </c>
      <c r="M51" s="2" t="str">
        <f>VLOOKUP(L51,Planilha2!$I$2:$K$100,2,FALSE)</f>
        <v>Lei Orgânica e Regimento Interno</v>
      </c>
      <c r="N51" s="2" t="str">
        <f>VLOOKUP(L51,Planilha2!$I$2:$K$100,3,FALSE)</f>
        <v>Organização e Normas Gerais</v>
      </c>
      <c r="U51" s="2" t="str">
        <f>VLOOKUP(B51,Planilha2!$B$2:$D$100,3,FALSE)</f>
        <v>lei-organica</v>
      </c>
      <c r="V51" s="4" t="e">
        <f t="shared" si="3"/>
        <v>#N/A</v>
      </c>
      <c r="W51" s="8"/>
      <c r="X51" s="4" t="e">
        <f t="shared" si="4"/>
        <v>#N/A</v>
      </c>
      <c r="Y51" s="8"/>
    </row>
    <row r="52" spans="2:25" x14ac:dyDescent="0.25">
      <c r="B52" s="2" t="s">
        <v>36</v>
      </c>
      <c r="C52" s="2" t="str">
        <f>VLOOKUP(B52,Planilha2!$B$2:$C$100,2,FALSE)</f>
        <v>ELO</v>
      </c>
      <c r="D52" s="14">
        <v>50</v>
      </c>
      <c r="E52" s="7"/>
      <c r="H52" s="1">
        <f t="shared" si="0"/>
        <v>1900</v>
      </c>
      <c r="I52" s="1" t="e">
        <f>VLOOKUP(H52,Planilha2!$E$1:$F$100,2,FALSE)</f>
        <v>#N/A</v>
      </c>
      <c r="J52" s="2" t="s">
        <v>40</v>
      </c>
      <c r="K52" s="2"/>
      <c r="L52" s="2" t="s">
        <v>36</v>
      </c>
      <c r="M52" s="2" t="str">
        <f>VLOOKUP(L52,Planilha2!$I$2:$K$100,2,FALSE)</f>
        <v>Lei Orgânica e Regimento Interno</v>
      </c>
      <c r="N52" s="2" t="str">
        <f>VLOOKUP(L52,Planilha2!$I$2:$K$100,3,FALSE)</f>
        <v>Organização e Normas Gerais</v>
      </c>
      <c r="U52" s="2" t="str">
        <f>VLOOKUP(B52,Planilha2!$B$2:$D$100,3,FALSE)</f>
        <v>lei-organica</v>
      </c>
      <c r="V52" s="4" t="e">
        <f t="shared" si="3"/>
        <v>#N/A</v>
      </c>
      <c r="W52" s="8"/>
      <c r="X52" s="4" t="e">
        <f t="shared" si="4"/>
        <v>#N/A</v>
      </c>
      <c r="Y52" s="8"/>
    </row>
    <row r="53" spans="2:25" x14ac:dyDescent="0.25">
      <c r="B53" s="2" t="s">
        <v>36</v>
      </c>
      <c r="C53" s="2" t="str">
        <f>VLOOKUP(B53,Planilha2!$B$2:$C$100,2,FALSE)</f>
        <v>ELO</v>
      </c>
      <c r="D53" s="14">
        <v>51</v>
      </c>
      <c r="E53" s="7"/>
      <c r="H53" s="1">
        <f t="shared" si="0"/>
        <v>1900</v>
      </c>
      <c r="I53" s="1" t="e">
        <f>VLOOKUP(H53,Planilha2!$E$1:$F$100,2,FALSE)</f>
        <v>#N/A</v>
      </c>
      <c r="J53" s="2" t="s">
        <v>40</v>
      </c>
      <c r="K53" s="2"/>
      <c r="L53" s="2" t="s">
        <v>36</v>
      </c>
      <c r="M53" s="2" t="str">
        <f>VLOOKUP(L53,Planilha2!$I$2:$K$100,2,FALSE)</f>
        <v>Lei Orgânica e Regimento Interno</v>
      </c>
      <c r="N53" s="2" t="str">
        <f>VLOOKUP(L53,Planilha2!$I$2:$K$100,3,FALSE)</f>
        <v>Organização e Normas Gerais</v>
      </c>
      <c r="U53" s="2" t="str">
        <f>VLOOKUP(B53,Planilha2!$B$2:$D$100,3,FALSE)</f>
        <v>lei-organica</v>
      </c>
      <c r="V53" s="4" t="e">
        <f t="shared" si="3"/>
        <v>#N/A</v>
      </c>
      <c r="W53" s="8"/>
      <c r="X53" s="4" t="e">
        <f t="shared" si="4"/>
        <v>#N/A</v>
      </c>
      <c r="Y53" s="8"/>
    </row>
    <row r="54" spans="2:25" x14ac:dyDescent="0.25">
      <c r="B54" s="2" t="s">
        <v>36</v>
      </c>
      <c r="C54" s="2" t="str">
        <f>VLOOKUP(B54,Planilha2!$B$2:$C$100,2,FALSE)</f>
        <v>ELO</v>
      </c>
      <c r="D54" s="14">
        <v>52</v>
      </c>
      <c r="E54" s="7"/>
      <c r="H54" s="1">
        <f t="shared" si="0"/>
        <v>1900</v>
      </c>
      <c r="I54" s="1" t="e">
        <f>VLOOKUP(H54,Planilha2!$E$1:$F$100,2,FALSE)</f>
        <v>#N/A</v>
      </c>
      <c r="J54" s="2" t="s">
        <v>40</v>
      </c>
      <c r="K54" s="2"/>
      <c r="L54" s="2" t="s">
        <v>36</v>
      </c>
      <c r="M54" s="2" t="str">
        <f>VLOOKUP(L54,Planilha2!$I$2:$K$100,2,FALSE)</f>
        <v>Lei Orgânica e Regimento Interno</v>
      </c>
      <c r="N54" s="2" t="str">
        <f>VLOOKUP(L54,Planilha2!$I$2:$K$100,3,FALSE)</f>
        <v>Organização e Normas Gerais</v>
      </c>
      <c r="U54" s="2" t="str">
        <f>VLOOKUP(B54,Planilha2!$B$2:$D$100,3,FALSE)</f>
        <v>lei-organica</v>
      </c>
      <c r="V54" s="4" t="e">
        <f t="shared" si="3"/>
        <v>#N/A</v>
      </c>
      <c r="W54" s="8"/>
      <c r="X54" s="4" t="e">
        <f t="shared" si="4"/>
        <v>#N/A</v>
      </c>
      <c r="Y54" s="8"/>
    </row>
    <row r="55" spans="2:25" x14ac:dyDescent="0.25">
      <c r="B55" s="2" t="s">
        <v>0</v>
      </c>
      <c r="C55" s="2" t="str">
        <f>VLOOKUP(B55,Planilha2!$B$2:$C$100,2,FALSE)</f>
        <v>LEI</v>
      </c>
      <c r="D55" s="14">
        <v>2641</v>
      </c>
      <c r="E55" s="7">
        <v>46002</v>
      </c>
      <c r="F55" s="5" t="s">
        <v>177</v>
      </c>
      <c r="G55" s="2" t="s">
        <v>178</v>
      </c>
      <c r="H55" s="1">
        <f t="shared" si="0"/>
        <v>2025</v>
      </c>
      <c r="I55" s="1" t="str">
        <f>VLOOKUP(H55,Planilha2!$E$1:$F$100,2,FALSE)</f>
        <v>2025-2028</v>
      </c>
      <c r="J55" s="2" t="s">
        <v>40</v>
      </c>
      <c r="K55" s="2"/>
      <c r="L55" s="2" t="s">
        <v>103</v>
      </c>
      <c r="M55" s="2" t="str">
        <f>VLOOKUP(L55,Planilha2!$I$2:$K$100,2,FALSE)</f>
        <v>Proteção Social</v>
      </c>
      <c r="N55" s="2" t="str">
        <f>VLOOKUP(L55,Planilha2!$I$2:$K$100,3,FALSE)</f>
        <v>Política Social</v>
      </c>
      <c r="O55" s="5" t="s">
        <v>179</v>
      </c>
      <c r="P55" s="5" t="s">
        <v>172</v>
      </c>
      <c r="Q55" s="15">
        <v>42354</v>
      </c>
      <c r="R55" s="5">
        <v>622</v>
      </c>
      <c r="U55" s="2" t="str">
        <f>VLOOKUP(B55,Planilha2!$B$2:$D$100,3,FALSE)</f>
        <v>lei-ordinaria</v>
      </c>
      <c r="V55" s="4" t="str">
        <f t="shared" si="3"/>
        <v>/legislatura/2025-2028/2025/lei-ordinaria/LEI-02641-2025.md</v>
      </c>
      <c r="W55" s="8" t="s">
        <v>158</v>
      </c>
      <c r="X55" s="4" t="str">
        <f t="shared" si="4"/>
        <v>/legislatura/2025-2028/2025/lei-ordinaria/LEI-02641-2025c.md</v>
      </c>
      <c r="Y55" s="8" t="s">
        <v>159</v>
      </c>
    </row>
    <row r="56" spans="2:25" x14ac:dyDescent="0.25">
      <c r="B56" s="5" t="s">
        <v>0</v>
      </c>
      <c r="C56" s="2" t="str">
        <f>VLOOKUP(B56,Planilha2!$B$2:$C$100,2,FALSE)</f>
        <v>LEI</v>
      </c>
      <c r="D56" s="14">
        <v>13</v>
      </c>
      <c r="E56" s="7">
        <v>28411</v>
      </c>
      <c r="F56" s="5" t="s">
        <v>182</v>
      </c>
      <c r="G56" s="2" t="s">
        <v>186</v>
      </c>
      <c r="H56" s="1">
        <f>YEAR(E56)</f>
        <v>1977</v>
      </c>
      <c r="I56" s="1" t="str">
        <f>VLOOKUP(H56,Planilha2!$E$1:$F$100,2,FALSE)</f>
        <v>1977-1982</v>
      </c>
      <c r="J56" s="2" t="s">
        <v>40</v>
      </c>
      <c r="K56" s="2"/>
      <c r="L56" s="2" t="s">
        <v>115</v>
      </c>
      <c r="M56" s="2" t="str">
        <f>VLOOKUP(L56,Planilha2!$I$2:$K$100,2,FALSE)</f>
        <v>Cultura, Esporte e Lazer</v>
      </c>
      <c r="N56" s="2" t="str">
        <f>VLOOKUP(L56,Planilha2!$I$2:$K$100,3,FALSE)</f>
        <v>Política Social</v>
      </c>
      <c r="O56" s="5" t="s">
        <v>183</v>
      </c>
      <c r="U56" s="2" t="str">
        <f>VLOOKUP(B56,Planilha2!$B$2:$D$100,3,FALSE)</f>
        <v>lei-ordinaria</v>
      </c>
      <c r="V56" s="4" t="str">
        <f>"/legislatura/" &amp; I56 &amp; "/" &amp; H56 &amp; "/" &amp; U56 &amp; "/" &amp; C56 &amp; "-" &amp; TEXT(D56,"00000") &amp; "-" &amp; H56 &amp; ".md"</f>
        <v>/legislatura/1977-1982/1977/lei-ordinaria/LEI-00013-1977.md</v>
      </c>
      <c r="W56" s="8" t="s">
        <v>158</v>
      </c>
      <c r="X56" s="4" t="str">
        <f>"/legislatura/" &amp; I56 &amp; "/" &amp; H56 &amp; "/" &amp; U56 &amp; "/" &amp; C56 &amp; "-" &amp; TEXT(D56,"00000") &amp; "-" &amp; H56 &amp; "c.md"</f>
        <v>/legislatura/1977-1982/1977/lei-ordinaria/LEI-00013-1977c.md</v>
      </c>
      <c r="Y56" s="8" t="s">
        <v>159</v>
      </c>
    </row>
    <row r="57" spans="2:25" ht="28.5" x14ac:dyDescent="0.25">
      <c r="B57" s="2" t="s">
        <v>0</v>
      </c>
      <c r="C57" s="2" t="str">
        <f>VLOOKUP(B57,Planilha2!$B$2:$C$100,2,FALSE)</f>
        <v>LEI</v>
      </c>
      <c r="D57" s="14">
        <v>5</v>
      </c>
      <c r="E57" s="16">
        <v>28367</v>
      </c>
      <c r="F57" s="5" t="s">
        <v>188</v>
      </c>
      <c r="G57" s="2" t="s">
        <v>184</v>
      </c>
      <c r="H57" s="1">
        <f t="shared" si="0"/>
        <v>1977</v>
      </c>
      <c r="I57" s="1" t="str">
        <f>VLOOKUP(H57,Planilha2!$E$1:$F$100,2,FALSE)</f>
        <v>1977-1982</v>
      </c>
      <c r="J57" s="2" t="s">
        <v>2</v>
      </c>
      <c r="K57" s="2" t="s">
        <v>38</v>
      </c>
      <c r="L57" s="2" t="s">
        <v>53</v>
      </c>
      <c r="M57" s="2" t="str">
        <f>VLOOKUP(L57,Planilha2!$I$2:$K$100,2,FALSE)</f>
        <v>Organização Administrativa</v>
      </c>
      <c r="N57" s="2" t="str">
        <f>VLOOKUP(L57,Planilha2!$I$2:$K$100,3,FALSE)</f>
        <v>Administração Pública</v>
      </c>
      <c r="O57" s="5" t="s">
        <v>185</v>
      </c>
      <c r="U57" s="2" t="str">
        <f>VLOOKUP(B57,Planilha2!$B$2:$D$100,3,FALSE)</f>
        <v>lei-ordinaria</v>
      </c>
      <c r="V57" s="4" t="str">
        <f t="shared" si="3"/>
        <v>/legislatura/1977-1982/1977/lei-ordinaria/LEI-00005-1977.md</v>
      </c>
      <c r="W57" s="8" t="s">
        <v>158</v>
      </c>
      <c r="X57" s="4" t="str">
        <f t="shared" si="4"/>
        <v>/legislatura/1977-1982/1977/lei-ordinaria/LEI-00005-1977c.md</v>
      </c>
      <c r="Y57" s="8" t="s">
        <v>159</v>
      </c>
    </row>
    <row r="58" spans="2:25" ht="42.75" x14ac:dyDescent="0.25">
      <c r="B58" s="5" t="s">
        <v>0</v>
      </c>
      <c r="C58" s="2" t="str">
        <f>VLOOKUP(B58,Planilha2!$B$2:$C$100,2,FALSE)</f>
        <v>LEI</v>
      </c>
      <c r="D58" s="20">
        <v>6</v>
      </c>
      <c r="E58" s="7">
        <v>28367</v>
      </c>
      <c r="F58" s="5" t="s">
        <v>187</v>
      </c>
      <c r="G58" s="2" t="s">
        <v>200</v>
      </c>
      <c r="H58" s="1">
        <f t="shared" ref="H58:H65" si="5">YEAR(E58)</f>
        <v>1977</v>
      </c>
      <c r="I58" s="1" t="str">
        <f>VLOOKUP(H58,Planilha2!$E$1:$F$100,2,FALSE)</f>
        <v>1977-1982</v>
      </c>
      <c r="J58" s="2"/>
      <c r="L58" s="2" t="s">
        <v>135</v>
      </c>
      <c r="M58" s="2" t="str">
        <f>VLOOKUP(L58,Planilha2!$I$2:$K$100,2,FALSE)</f>
        <v>Símbolos e Honrarias</v>
      </c>
      <c r="N58" s="2" t="str">
        <f>VLOOKUP(L58,Planilha2!$I$2:$K$100,3,FALSE)</f>
        <v>Organização e Normas Gerais</v>
      </c>
      <c r="O58" s="5" t="s">
        <v>189</v>
      </c>
      <c r="U58" s="2" t="str">
        <f>VLOOKUP(B58,Planilha2!$B$2:$D$100,3,FALSE)</f>
        <v>lei-ordinaria</v>
      </c>
      <c r="V58" s="4" t="str">
        <f t="shared" ref="V58:V65" si="6">"/legislatura/" &amp; I58 &amp; "/" &amp; H58 &amp; "/" &amp; U58 &amp; "/" &amp; C58 &amp; "-" &amp; TEXT(D58,"00000") &amp; "-" &amp; H58 &amp; ".md"</f>
        <v>/legislatura/1977-1982/1977/lei-ordinaria/LEI-00006-1977.md</v>
      </c>
      <c r="W58" s="8" t="s">
        <v>158</v>
      </c>
      <c r="X58" s="4" t="str">
        <f t="shared" ref="X58:X65" si="7">"/legislatura/" &amp; I58 &amp; "/" &amp; H58 &amp; "/" &amp; U58 &amp; "/" &amp; C58 &amp; "-" &amp; TEXT(D58,"00000") &amp; "-" &amp; H58 &amp; "c.md"</f>
        <v>/legislatura/1977-1982/1977/lei-ordinaria/LEI-00006-1977c.md</v>
      </c>
      <c r="Y58" s="8" t="s">
        <v>159</v>
      </c>
    </row>
    <row r="59" spans="2:25" ht="57" x14ac:dyDescent="0.25">
      <c r="B59" s="5" t="s">
        <v>0</v>
      </c>
      <c r="C59" s="2" t="str">
        <f>VLOOKUP(B59,Planilha2!$B$2:$C$100,2,FALSE)</f>
        <v>LEI</v>
      </c>
      <c r="D59" s="20">
        <v>4</v>
      </c>
      <c r="E59" s="7">
        <v>28324</v>
      </c>
      <c r="F59" s="5" t="s">
        <v>190</v>
      </c>
      <c r="G59" s="2" t="s">
        <v>191</v>
      </c>
      <c r="H59" s="1">
        <f t="shared" si="5"/>
        <v>1977</v>
      </c>
      <c r="I59" s="1" t="str">
        <f>VLOOKUP(H59,Planilha2!$E$1:$F$100,2,FALSE)</f>
        <v>1977-1982</v>
      </c>
      <c r="J59" s="2"/>
      <c r="K59" s="5" t="s">
        <v>38</v>
      </c>
      <c r="L59" s="2" t="s">
        <v>192</v>
      </c>
      <c r="M59" s="2" t="str">
        <f>VLOOKUP(L59,Planilha2!$I$2:$K$100,2,FALSE)</f>
        <v>Infraestrutura e Serviços</v>
      </c>
      <c r="N59" s="2" t="str">
        <f>VLOOKUP(L59,Planilha2!$I$2:$K$100,3,FALSE)</f>
        <v>Desenvolvimento Urbano e Infraestrutura</v>
      </c>
      <c r="O59" s="5" t="s">
        <v>193</v>
      </c>
      <c r="U59" s="2" t="str">
        <f>VLOOKUP(B59,Planilha2!$B$2:$D$100,3,FALSE)</f>
        <v>lei-ordinaria</v>
      </c>
      <c r="V59" s="4" t="str">
        <f t="shared" si="6"/>
        <v>/legislatura/1977-1982/1977/lei-ordinaria/LEI-00004-1977.md</v>
      </c>
      <c r="W59" s="8" t="s">
        <v>158</v>
      </c>
      <c r="X59" s="4" t="str">
        <f t="shared" si="7"/>
        <v>/legislatura/1977-1982/1977/lei-ordinaria/LEI-00004-1977c.md</v>
      </c>
      <c r="Y59" s="8" t="s">
        <v>159</v>
      </c>
    </row>
    <row r="60" spans="2:25" ht="71.25" x14ac:dyDescent="0.25">
      <c r="B60" s="5" t="s">
        <v>0</v>
      </c>
      <c r="C60" s="2" t="str">
        <f>VLOOKUP(B60,Planilha2!$B$2:$C$100,2,FALSE)</f>
        <v>LEI</v>
      </c>
      <c r="D60" s="20">
        <v>7</v>
      </c>
      <c r="E60" s="7">
        <v>28367</v>
      </c>
      <c r="F60" s="5" t="s">
        <v>194</v>
      </c>
      <c r="G60" s="2" t="s">
        <v>195</v>
      </c>
      <c r="H60" s="1">
        <f t="shared" si="5"/>
        <v>1977</v>
      </c>
      <c r="I60" s="1" t="str">
        <f>VLOOKUP(H60,Planilha2!$E$1:$F$100,2,FALSE)</f>
        <v>1977-1982</v>
      </c>
      <c r="J60" s="2"/>
      <c r="L60" s="2" t="s">
        <v>197</v>
      </c>
      <c r="M60" s="2" t="str">
        <f>VLOOKUP(L60,Planilha2!$I$2:$K$100,2,FALSE)</f>
        <v>Crédito Adicional</v>
      </c>
      <c r="N60" s="2" t="str">
        <f>VLOOKUP(L60,Planilha2!$I$2:$K$100,3,FALSE)</f>
        <v>Finanças e Economia</v>
      </c>
      <c r="U60" s="2" t="str">
        <f>VLOOKUP(B60,Planilha2!$B$2:$D$100,3,FALSE)</f>
        <v>lei-ordinaria</v>
      </c>
      <c r="V60" s="4" t="str">
        <f t="shared" si="6"/>
        <v>/legislatura/1977-1982/1977/lei-ordinaria/LEI-00007-1977.md</v>
      </c>
      <c r="W60" s="8" t="s">
        <v>158</v>
      </c>
      <c r="X60" s="4" t="str">
        <f t="shared" si="7"/>
        <v>/legislatura/1977-1982/1977/lei-ordinaria/LEI-00007-1977c.md</v>
      </c>
      <c r="Y60" s="8" t="s">
        <v>159</v>
      </c>
    </row>
    <row r="61" spans="2:25" ht="28.5" x14ac:dyDescent="0.25">
      <c r="B61" s="5" t="s">
        <v>0</v>
      </c>
      <c r="C61" s="2" t="str">
        <f>VLOOKUP(B61,Planilha2!$B$2:$C$100,2,FALSE)</f>
        <v>LEI</v>
      </c>
      <c r="D61" s="20">
        <v>8</v>
      </c>
      <c r="E61" s="7">
        <v>28360</v>
      </c>
      <c r="F61" s="5" t="s">
        <v>201</v>
      </c>
      <c r="G61" s="2" t="s">
        <v>202</v>
      </c>
      <c r="H61" s="1">
        <f t="shared" si="5"/>
        <v>1977</v>
      </c>
      <c r="I61" s="1" t="str">
        <f>VLOOKUP(H61,Planilha2!$E$1:$F$100,2,FALSE)</f>
        <v>1977-1982</v>
      </c>
      <c r="J61" s="2"/>
      <c r="L61" s="2" t="s">
        <v>86</v>
      </c>
      <c r="M61" s="2" t="str">
        <f>VLOOKUP(L61,Planilha2!$I$2:$K$100,2,FALSE)</f>
        <v>Planejamento Urbano</v>
      </c>
      <c r="N61" s="2" t="str">
        <f>VLOOKUP(L61,Planilha2!$I$2:$K$100,3,FALSE)</f>
        <v>Desenvolvimento Urbano e Infraestrutura</v>
      </c>
      <c r="O61" s="5" t="s">
        <v>203</v>
      </c>
      <c r="U61" s="2" t="str">
        <f>VLOOKUP(B61,Planilha2!$B$2:$D$100,3,FALSE)</f>
        <v>lei-ordinaria</v>
      </c>
      <c r="V61" s="4" t="str">
        <f t="shared" si="6"/>
        <v>/legislatura/1977-1982/1977/lei-ordinaria/LEI-00008-1977.md</v>
      </c>
      <c r="W61" s="8"/>
      <c r="X61" s="4" t="str">
        <f t="shared" si="7"/>
        <v>/legislatura/1977-1982/1977/lei-ordinaria/LEI-00008-1977c.md</v>
      </c>
      <c r="Y61" s="8"/>
    </row>
    <row r="62" spans="2:25" x14ac:dyDescent="0.25">
      <c r="C62" s="2" t="e">
        <f>VLOOKUP(B62,Planilha2!$B$2:$C$100,2,FALSE)</f>
        <v>#N/A</v>
      </c>
      <c r="E62" s="7"/>
      <c r="H62" s="1">
        <f t="shared" si="5"/>
        <v>1900</v>
      </c>
      <c r="I62" s="1" t="e">
        <f>VLOOKUP(H62,Planilha2!$E$1:$F$100,2,FALSE)</f>
        <v>#N/A</v>
      </c>
      <c r="J62" s="2"/>
      <c r="L62" s="2"/>
      <c r="M62" s="2" t="e">
        <f>VLOOKUP(L62,Planilha2!$I$2:$K$100,2,FALSE)</f>
        <v>#N/A</v>
      </c>
      <c r="N62" s="2" t="e">
        <f>VLOOKUP(L62,Planilha2!$I$2:$K$100,3,FALSE)</f>
        <v>#N/A</v>
      </c>
      <c r="U62" s="2" t="e">
        <f>VLOOKUP(B62,Planilha2!$B$2:$D$100,3,FALSE)</f>
        <v>#N/A</v>
      </c>
      <c r="V62" s="4" t="e">
        <f t="shared" si="6"/>
        <v>#N/A</v>
      </c>
      <c r="W62" s="8"/>
      <c r="X62" s="4" t="e">
        <f t="shared" si="7"/>
        <v>#N/A</v>
      </c>
      <c r="Y62" s="8"/>
    </row>
    <row r="63" spans="2:25" x14ac:dyDescent="0.25">
      <c r="C63" s="2" t="e">
        <f>VLOOKUP(B63,Planilha2!$B$2:$C$100,2,FALSE)</f>
        <v>#N/A</v>
      </c>
      <c r="E63" s="7"/>
      <c r="H63" s="1">
        <f t="shared" si="5"/>
        <v>1900</v>
      </c>
      <c r="I63" s="1" t="e">
        <f>VLOOKUP(H63,Planilha2!$E$1:$F$100,2,FALSE)</f>
        <v>#N/A</v>
      </c>
      <c r="J63" s="2"/>
      <c r="L63" s="2"/>
      <c r="M63" s="2" t="e">
        <f>VLOOKUP(L63,Planilha2!$I$2:$K$100,2,FALSE)</f>
        <v>#N/A</v>
      </c>
      <c r="N63" s="2" t="e">
        <f>VLOOKUP(L63,Planilha2!$I$2:$K$100,3,FALSE)</f>
        <v>#N/A</v>
      </c>
      <c r="U63" s="2" t="e">
        <f>VLOOKUP(B63,Planilha2!$B$2:$D$100,3,FALSE)</f>
        <v>#N/A</v>
      </c>
      <c r="V63" s="4" t="e">
        <f t="shared" si="6"/>
        <v>#N/A</v>
      </c>
      <c r="W63" s="8"/>
      <c r="X63" s="4" t="e">
        <f t="shared" si="7"/>
        <v>#N/A</v>
      </c>
      <c r="Y63" s="8"/>
    </row>
    <row r="64" spans="2:25" x14ac:dyDescent="0.25">
      <c r="C64" s="2" t="e">
        <f>VLOOKUP(B64,Planilha2!$B$2:$C$100,2,FALSE)</f>
        <v>#N/A</v>
      </c>
      <c r="E64" s="7"/>
      <c r="H64" s="1">
        <f t="shared" si="5"/>
        <v>1900</v>
      </c>
      <c r="I64" s="1" t="e">
        <f>VLOOKUP(H64,Planilha2!$E$1:$F$100,2,FALSE)</f>
        <v>#N/A</v>
      </c>
      <c r="J64" s="2"/>
      <c r="L64" s="2"/>
      <c r="M64" s="2" t="e">
        <f>VLOOKUP(L64,Planilha2!$I$2:$K$100,2,FALSE)</f>
        <v>#N/A</v>
      </c>
      <c r="N64" s="2" t="e">
        <f>VLOOKUP(L64,Planilha2!$I$2:$K$100,3,FALSE)</f>
        <v>#N/A</v>
      </c>
      <c r="U64" s="2" t="e">
        <f>VLOOKUP(B64,Planilha2!$B$2:$D$100,3,FALSE)</f>
        <v>#N/A</v>
      </c>
      <c r="V64" s="4" t="e">
        <f t="shared" si="6"/>
        <v>#N/A</v>
      </c>
      <c r="W64" s="8"/>
      <c r="X64" s="4" t="e">
        <f t="shared" si="7"/>
        <v>#N/A</v>
      </c>
      <c r="Y64" s="8"/>
    </row>
    <row r="65" spans="2:25" x14ac:dyDescent="0.25">
      <c r="C65" s="2" t="e">
        <f>VLOOKUP(B65,Planilha2!$B$2:$C$100,2,FALSE)</f>
        <v>#N/A</v>
      </c>
      <c r="E65" s="7"/>
      <c r="H65" s="1">
        <f t="shared" si="5"/>
        <v>1900</v>
      </c>
      <c r="I65" s="1" t="e">
        <f>VLOOKUP(H65,Planilha2!$E$1:$F$100,2,FALSE)</f>
        <v>#N/A</v>
      </c>
      <c r="J65" s="2"/>
      <c r="L65" s="2"/>
      <c r="M65" s="2" t="e">
        <f>VLOOKUP(L65,Planilha2!$I$2:$K$100,2,FALSE)</f>
        <v>#N/A</v>
      </c>
      <c r="N65" s="2" t="e">
        <f>VLOOKUP(L65,Planilha2!$I$2:$K$100,3,FALSE)</f>
        <v>#N/A</v>
      </c>
      <c r="U65" s="2" t="e">
        <f>VLOOKUP(B65,Planilha2!$B$2:$D$100,3,FALSE)</f>
        <v>#N/A</v>
      </c>
      <c r="V65" s="4" t="e">
        <f t="shared" si="6"/>
        <v>#N/A</v>
      </c>
      <c r="W65" s="8"/>
      <c r="X65" s="4" t="e">
        <f t="shared" si="7"/>
        <v>#N/A</v>
      </c>
      <c r="Y65" s="8"/>
    </row>
    <row r="66" spans="2:25" x14ac:dyDescent="0.25">
      <c r="C66" s="2" t="e">
        <f>VLOOKUP(B66,Planilha2!$B$2:$C$100,2,FALSE)</f>
        <v>#N/A</v>
      </c>
      <c r="E66" s="7"/>
      <c r="H66" s="1">
        <f t="shared" ref="H66:H69" si="8">YEAR(E66)</f>
        <v>1900</v>
      </c>
      <c r="I66" s="1" t="e">
        <f>VLOOKUP(H66,Planilha2!$E$1:$F$100,2,FALSE)</f>
        <v>#N/A</v>
      </c>
      <c r="J66" s="2"/>
      <c r="L66" s="2"/>
      <c r="M66" s="2" t="e">
        <f>VLOOKUP(L66,Planilha2!$I$2:$K$100,2,FALSE)</f>
        <v>#N/A</v>
      </c>
      <c r="N66" s="2" t="e">
        <f>VLOOKUP(L66,Planilha2!$I$2:$K$100,3,FALSE)</f>
        <v>#N/A</v>
      </c>
      <c r="U66" s="2" t="e">
        <f>VLOOKUP(B66,Planilha2!$B$2:$D$100,3,FALSE)</f>
        <v>#N/A</v>
      </c>
      <c r="V66" s="4" t="e">
        <f t="shared" ref="V66:V69" si="9">"/legislatura/" &amp; I66 &amp; "/" &amp; H66 &amp; "/" &amp; U66 &amp; "/" &amp; C66 &amp; "-" &amp; TEXT(D66,"00000") &amp; "-" &amp; H66 &amp; ".md"</f>
        <v>#N/A</v>
      </c>
      <c r="W66" s="8"/>
      <c r="X66" s="4" t="e">
        <f t="shared" ref="X66:X69" si="10">"/legislatura/" &amp; I66 &amp; "/" &amp; H66 &amp; "/" &amp; U66 &amp; "/" &amp; C66 &amp; "-" &amp; TEXT(D66,"00000") &amp; "-" &amp; H66 &amp; "c.md"</f>
        <v>#N/A</v>
      </c>
      <c r="Y66" s="8"/>
    </row>
    <row r="67" spans="2:25" x14ac:dyDescent="0.25">
      <c r="C67" s="2" t="e">
        <f>VLOOKUP(B67,Planilha2!$B$2:$C$100,2,FALSE)</f>
        <v>#N/A</v>
      </c>
      <c r="E67" s="7"/>
      <c r="H67" s="1">
        <f t="shared" si="8"/>
        <v>1900</v>
      </c>
      <c r="I67" s="1" t="e">
        <f>VLOOKUP(H67,Planilha2!$E$1:$F$100,2,FALSE)</f>
        <v>#N/A</v>
      </c>
      <c r="J67" s="2"/>
      <c r="L67" s="2"/>
      <c r="M67" s="2" t="e">
        <f>VLOOKUP(L67,Planilha2!$I$2:$K$100,2,FALSE)</f>
        <v>#N/A</v>
      </c>
      <c r="N67" s="2" t="e">
        <f>VLOOKUP(L67,Planilha2!$I$2:$K$100,3,FALSE)</f>
        <v>#N/A</v>
      </c>
      <c r="U67" s="2" t="e">
        <f>VLOOKUP(B67,Planilha2!$B$2:$D$100,3,FALSE)</f>
        <v>#N/A</v>
      </c>
      <c r="V67" s="4" t="e">
        <f t="shared" si="9"/>
        <v>#N/A</v>
      </c>
      <c r="W67" s="8"/>
      <c r="X67" s="4" t="e">
        <f t="shared" si="10"/>
        <v>#N/A</v>
      </c>
      <c r="Y67" s="8"/>
    </row>
    <row r="68" spans="2:25" x14ac:dyDescent="0.25">
      <c r="C68" s="2" t="e">
        <f>VLOOKUP(B68,Planilha2!$B$2:$C$100,2,FALSE)</f>
        <v>#N/A</v>
      </c>
      <c r="E68" s="7"/>
      <c r="H68" s="1">
        <f t="shared" si="8"/>
        <v>1900</v>
      </c>
      <c r="I68" s="1" t="e">
        <f>VLOOKUP(H68,Planilha2!$E$1:$F$100,2,FALSE)</f>
        <v>#N/A</v>
      </c>
      <c r="J68" s="2"/>
      <c r="L68" s="2"/>
      <c r="M68" s="2" t="e">
        <f>VLOOKUP(L68,Planilha2!$I$2:$K$100,2,FALSE)</f>
        <v>#N/A</v>
      </c>
      <c r="N68" s="2" t="e">
        <f>VLOOKUP(L68,Planilha2!$I$2:$K$100,3,FALSE)</f>
        <v>#N/A</v>
      </c>
      <c r="U68" s="2" t="e">
        <f>VLOOKUP(B68,Planilha2!$B$2:$D$100,3,FALSE)</f>
        <v>#N/A</v>
      </c>
      <c r="V68" s="4" t="e">
        <f t="shared" si="9"/>
        <v>#N/A</v>
      </c>
      <c r="W68" s="8"/>
      <c r="X68" s="4" t="e">
        <f t="shared" si="10"/>
        <v>#N/A</v>
      </c>
      <c r="Y68" s="8"/>
    </row>
    <row r="69" spans="2:25" x14ac:dyDescent="0.25">
      <c r="C69" s="2" t="e">
        <f>VLOOKUP(B69,Planilha2!$B$2:$C$100,2,FALSE)</f>
        <v>#N/A</v>
      </c>
      <c r="E69" s="7"/>
      <c r="H69" s="1">
        <f t="shared" si="8"/>
        <v>1900</v>
      </c>
      <c r="I69" s="1" t="e">
        <f>VLOOKUP(H69,Planilha2!$E$1:$F$100,2,FALSE)</f>
        <v>#N/A</v>
      </c>
      <c r="J69" s="2"/>
      <c r="L69" s="2"/>
      <c r="M69" s="2" t="e">
        <f>VLOOKUP(L69,Planilha2!$I$2:$K$100,2,FALSE)</f>
        <v>#N/A</v>
      </c>
      <c r="N69" s="2" t="e">
        <f>VLOOKUP(L69,Planilha2!$I$2:$K$100,3,FALSE)</f>
        <v>#N/A</v>
      </c>
      <c r="U69" s="2" t="e">
        <f>VLOOKUP(B69,Planilha2!$B$2:$D$100,3,FALSE)</f>
        <v>#N/A</v>
      </c>
      <c r="V69" s="4" t="e">
        <f t="shared" si="9"/>
        <v>#N/A</v>
      </c>
      <c r="W69" s="8"/>
      <c r="X69" s="4" t="e">
        <f t="shared" si="10"/>
        <v>#N/A</v>
      </c>
      <c r="Y69" s="8"/>
    </row>
    <row r="70" spans="2:25" x14ac:dyDescent="0.25">
      <c r="C70" s="2" t="e">
        <f>VLOOKUP(B70,Planilha2!$B$2:$C$100,2,FALSE)</f>
        <v>#N/A</v>
      </c>
      <c r="E70" s="7"/>
      <c r="H70" s="1">
        <f t="shared" ref="H70:H71" si="11">YEAR(E70)</f>
        <v>1900</v>
      </c>
      <c r="I70" s="1" t="e">
        <f>VLOOKUP(H70,Planilha2!$E$1:$F$100,2,FALSE)</f>
        <v>#N/A</v>
      </c>
      <c r="J70" s="2"/>
      <c r="L70" s="2"/>
      <c r="M70" s="2" t="e">
        <f>VLOOKUP(L70,Planilha2!$I$2:$K$100,2,FALSE)</f>
        <v>#N/A</v>
      </c>
      <c r="N70" s="2" t="e">
        <f>VLOOKUP(L70,Planilha2!$I$2:$K$100,3,FALSE)</f>
        <v>#N/A</v>
      </c>
      <c r="U70" s="2" t="e">
        <f>VLOOKUP(B70,Planilha2!$B$2:$D$100,3,FALSE)</f>
        <v>#N/A</v>
      </c>
      <c r="V70" s="4" t="e">
        <f t="shared" ref="V70:V71" si="12">"/legislatura/" &amp; I70 &amp; "/" &amp; H70 &amp; "/" &amp; U70 &amp; "/" &amp; C70 &amp; "-" &amp; TEXT(D70,"00000") &amp; "-" &amp; H70 &amp; ".md"</f>
        <v>#N/A</v>
      </c>
      <c r="W70" s="8"/>
      <c r="X70" s="4" t="e">
        <f t="shared" ref="X70:X71" si="13">"/legislatura/" &amp; I70 &amp; "/" &amp; H70 &amp; "/" &amp; U70 &amp; "/" &amp; C70 &amp; "-" &amp; TEXT(D70,"00000") &amp; "-" &amp; H70 &amp; "c.md"</f>
        <v>#N/A</v>
      </c>
      <c r="Y70" s="8"/>
    </row>
    <row r="71" spans="2:25" x14ac:dyDescent="0.25">
      <c r="C71" s="2" t="e">
        <f>VLOOKUP(B71,Planilha2!$B$2:$C$100,2,FALSE)</f>
        <v>#N/A</v>
      </c>
      <c r="E71" s="7"/>
      <c r="H71" s="1">
        <f t="shared" si="11"/>
        <v>1900</v>
      </c>
      <c r="I71" s="1" t="e">
        <f>VLOOKUP(H71,Planilha2!$E$1:$F$100,2,FALSE)</f>
        <v>#N/A</v>
      </c>
      <c r="J71" s="2"/>
      <c r="L71" s="2"/>
      <c r="M71" s="2" t="e">
        <f>VLOOKUP(L71,Planilha2!$I$2:$K$100,2,FALSE)</f>
        <v>#N/A</v>
      </c>
      <c r="N71" s="2" t="e">
        <f>VLOOKUP(L71,Planilha2!$I$2:$K$100,3,FALSE)</f>
        <v>#N/A</v>
      </c>
      <c r="U71" s="2" t="e">
        <f>VLOOKUP(B71,Planilha2!$B$2:$D$100,3,FALSE)</f>
        <v>#N/A</v>
      </c>
      <c r="V71" s="4" t="e">
        <f t="shared" si="12"/>
        <v>#N/A</v>
      </c>
      <c r="W71" s="8"/>
      <c r="X71" s="4" t="e">
        <f t="shared" si="13"/>
        <v>#N/A</v>
      </c>
      <c r="Y71" s="8"/>
    </row>
    <row r="72" spans="2:25" x14ac:dyDescent="0.25">
      <c r="C72" s="2" t="e">
        <f>VLOOKUP(B72,Planilha2!$B$2:$C$100,2,FALSE)</f>
        <v>#N/A</v>
      </c>
      <c r="E72" s="7"/>
      <c r="H72" s="1">
        <f>YEAR(E72)</f>
        <v>1900</v>
      </c>
      <c r="I72" s="1" t="e">
        <f>VLOOKUP(H72,Planilha2!$E$1:$F$100,2,FALSE)</f>
        <v>#N/A</v>
      </c>
      <c r="J72" s="2"/>
      <c r="L72" s="2"/>
      <c r="M72" s="2" t="e">
        <f>VLOOKUP(L72,Planilha2!$I$2:$K$100,2,FALSE)</f>
        <v>#N/A</v>
      </c>
      <c r="N72" s="2" t="e">
        <f>VLOOKUP(L72,Planilha2!$I$2:$K$100,3,FALSE)</f>
        <v>#N/A</v>
      </c>
      <c r="U72" s="2" t="e">
        <f>VLOOKUP(B72,Planilha2!$B$2:$D$100,3,FALSE)</f>
        <v>#N/A</v>
      </c>
      <c r="V72" s="4" t="e">
        <f>"/legislatura/" &amp; I72 &amp; "/" &amp; H72 &amp; "/" &amp; U72 &amp; "/" &amp; C72 &amp; "-" &amp; TEXT(D72,"00000") &amp; "-" &amp; H72 &amp; ".md"</f>
        <v>#N/A</v>
      </c>
      <c r="W72" s="8"/>
      <c r="X72" s="4" t="e">
        <f>"/legislatura/" &amp; I72 &amp; "/" &amp; H72 &amp; "/" &amp; U72 &amp; "/" &amp; C72 &amp; "-" &amp; TEXT(D72,"00000") &amp; "-" &amp; H72 &amp; "c.md"</f>
        <v>#N/A</v>
      </c>
      <c r="Y72" s="8"/>
    </row>
    <row r="73" spans="2:25" x14ac:dyDescent="0.25">
      <c r="B73" s="2"/>
      <c r="C73" s="2" t="e">
        <f>VLOOKUP(B73,Planilha2!$B$2:$C$100,2,FALSE)</f>
        <v>#N/A</v>
      </c>
      <c r="D73" s="14"/>
      <c r="H73" s="1">
        <f t="shared" si="0"/>
        <v>1900</v>
      </c>
      <c r="I73" s="1" t="e">
        <f>VLOOKUP(H73,Planilha2!$E$1:$F$100,2,FALSE)</f>
        <v>#N/A</v>
      </c>
      <c r="J73" s="2"/>
      <c r="K73" s="2"/>
      <c r="L73" s="2"/>
      <c r="M73" s="2" t="e">
        <f>VLOOKUP(L73,Planilha2!$I$2:$K$100,2,FALSE)</f>
        <v>#N/A</v>
      </c>
      <c r="N73" s="2" t="e">
        <f>VLOOKUP(L73,Planilha2!$I$2:$K$100,3,FALSE)</f>
        <v>#N/A</v>
      </c>
      <c r="U73" s="2" t="e">
        <f>VLOOKUP(B73,Planilha2!$B$2:$D$100,3,FALSE)</f>
        <v>#N/A</v>
      </c>
      <c r="V73" s="4" t="e">
        <f t="shared" si="3"/>
        <v>#N/A</v>
      </c>
      <c r="W73" s="8"/>
      <c r="X73" s="4" t="e">
        <f t="shared" si="4"/>
        <v>#N/A</v>
      </c>
      <c r="Y73" s="8"/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1D5460F-059C-48F9-8563-012AC8B3B9EB}">
          <x14:formula1>
            <xm:f>Planilha2!$B$2:$B$100</xm:f>
          </x14:formula1>
          <xm:sqref>B3:B73</xm:sqref>
        </x14:dataValidation>
        <x14:dataValidation type="list" allowBlank="1" showInputMessage="1" showErrorMessage="1" xr:uid="{5775A987-A91B-4F90-83A7-43ACC0948AB9}">
          <x14:formula1>
            <xm:f>Planilha2!$I$2:$I$100</xm:f>
          </x14:formula1>
          <xm:sqref>L2:L73</xm:sqref>
        </x14:dataValidation>
        <x14:dataValidation type="list" allowBlank="1" showInputMessage="1" showErrorMessage="1" xr:uid="{262F96DE-9BB4-43C0-BFF2-F359B3619082}">
          <x14:formula1>
            <xm:f>Planilha2!$G$2:$G$100</xm:f>
          </x14:formula1>
          <xm:sqref>J2:J73</xm:sqref>
        </x14:dataValidation>
        <x14:dataValidation type="list" allowBlank="1" showInputMessage="1" showErrorMessage="1" xr:uid="{7F35D287-3660-4A81-8F7B-8B736588D518}">
          <x14:formula1>
            <xm:f>Planilha2!$H$2:$H$100</xm:f>
          </x14:formula1>
          <xm:sqref>K2:K73</xm:sqref>
        </x14:dataValidation>
        <x14:dataValidation type="list" allowBlank="1" showInputMessage="1" showErrorMessage="1" xr:uid="{CB4A771B-4F9A-461F-83C3-AA9F571452ED}">
          <x14:formula1>
            <xm:f>Planilha2!$M$2:$M$100</xm:f>
          </x14:formula1>
          <xm:sqref>P2:P73</xm:sqref>
        </x14:dataValidation>
        <x14:dataValidation type="list" allowBlank="1" showInputMessage="1" showErrorMessage="1" xr:uid="{2ECCD5AB-B97A-4D7B-A45C-70C5D7ECD3EB}">
          <x14:formula1>
            <xm:f>Planilha2!$Q$2:$Q$100</xm:f>
          </x14:formula1>
          <xm:sqref>Y2:Y73 W2:W73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796A-3A00-4DED-B226-11B2C2919DF2}">
  <dimension ref="A1:R72"/>
  <sheetViews>
    <sheetView workbookViewId="0">
      <selection activeCell="I2" sqref="I2:K72"/>
    </sheetView>
  </sheetViews>
  <sheetFormatPr defaultRowHeight="15" x14ac:dyDescent="0.25"/>
  <cols>
    <col min="1" max="1" width="2.7109375" bestFit="1" customWidth="1"/>
    <col min="2" max="2" width="21.5703125" bestFit="1" customWidth="1"/>
    <col min="3" max="3" width="11" bestFit="1" customWidth="1"/>
    <col min="4" max="4" width="19.42578125" bestFit="1" customWidth="1"/>
    <col min="5" max="5" width="5" bestFit="1" customWidth="1"/>
    <col min="6" max="6" width="9.7109375" bestFit="1" customWidth="1"/>
    <col min="7" max="7" width="21.140625" bestFit="1" customWidth="1"/>
    <col min="8" max="8" width="10.28515625" bestFit="1" customWidth="1"/>
    <col min="9" max="9" width="58.28515625" bestFit="1" customWidth="1"/>
    <col min="10" max="10" width="54.85546875" bestFit="1" customWidth="1"/>
    <col min="11" max="11" width="38" bestFit="1" customWidth="1"/>
    <col min="12" max="12" width="13.7109375" bestFit="1" customWidth="1"/>
    <col min="13" max="14" width="16.42578125" bestFit="1" customWidth="1"/>
    <col min="15" max="16" width="14.85546875" bestFit="1" customWidth="1"/>
    <col min="17" max="17" width="6.28515625" bestFit="1" customWidth="1"/>
  </cols>
  <sheetData>
    <row r="1" spans="1:18" x14ac:dyDescent="0.25">
      <c r="A1" t="str">
        <f>Planilha1!A1</f>
        <v>id</v>
      </c>
      <c r="B1" t="str">
        <f>Planilha1!B1</f>
        <v>tipo_norma</v>
      </c>
      <c r="C1" t="str">
        <f>Planilha1!C1</f>
        <v>cod_norma</v>
      </c>
      <c r="D1" t="s">
        <v>163</v>
      </c>
      <c r="E1" t="str">
        <f>Planilha1!H1</f>
        <v>ano</v>
      </c>
      <c r="F1" t="str">
        <f>Planilha1!I1</f>
        <v>legisltura</v>
      </c>
      <c r="G1" t="str">
        <f>Planilha1!J1</f>
        <v>status</v>
      </c>
      <c r="H1" t="str">
        <f>Planilha1!K1</f>
        <v>autor</v>
      </c>
      <c r="I1" t="str">
        <f>Planilha1!L1</f>
        <v>subcategoria</v>
      </c>
      <c r="J1" t="str">
        <f>Planilha1!M1</f>
        <v>categoria</v>
      </c>
      <c r="K1" t="str">
        <f>Planilha1!N1</f>
        <v>tema</v>
      </c>
      <c r="L1" t="str">
        <f>Planilha1!O1</f>
        <v>palavra-chave</v>
      </c>
      <c r="M1" t="s">
        <v>15</v>
      </c>
      <c r="N1" t="str">
        <f>Planilha1!T1</f>
        <v>link_publicacao</v>
      </c>
      <c r="O1" t="str">
        <f>Planilha1!V1</f>
        <v>link_consolidado</v>
      </c>
      <c r="P1" t="str">
        <f>Planilha1!X1</f>
        <v>link_compilado</v>
      </c>
      <c r="Q1" t="str">
        <f>Planilha1!Y1</f>
        <v>portal_conso</v>
      </c>
      <c r="R1" t="str">
        <f>Planilha1!Z1</f>
        <v>obs</v>
      </c>
    </row>
    <row r="2" spans="1:18" x14ac:dyDescent="0.25">
      <c r="B2" t="s">
        <v>4</v>
      </c>
      <c r="C2" s="6" t="s">
        <v>144</v>
      </c>
      <c r="D2" s="6" t="s">
        <v>164</v>
      </c>
      <c r="E2">
        <v>1977</v>
      </c>
      <c r="F2" t="s">
        <v>22</v>
      </c>
      <c r="G2" t="s">
        <v>44</v>
      </c>
      <c r="H2" t="s">
        <v>38</v>
      </c>
      <c r="I2" s="11" t="s">
        <v>51</v>
      </c>
      <c r="J2" s="11" t="s">
        <v>50</v>
      </c>
      <c r="K2" s="11" t="s">
        <v>46</v>
      </c>
      <c r="M2" t="s">
        <v>171</v>
      </c>
      <c r="Q2" t="s">
        <v>158</v>
      </c>
    </row>
    <row r="3" spans="1:18" x14ac:dyDescent="0.25">
      <c r="B3" t="s">
        <v>36</v>
      </c>
      <c r="C3" t="s">
        <v>145</v>
      </c>
      <c r="D3" t="s">
        <v>170</v>
      </c>
      <c r="E3">
        <v>1978</v>
      </c>
      <c r="F3" t="s">
        <v>22</v>
      </c>
      <c r="G3" t="s">
        <v>43</v>
      </c>
      <c r="H3" t="s">
        <v>39</v>
      </c>
      <c r="I3" s="11" t="s">
        <v>52</v>
      </c>
      <c r="J3" s="11" t="s">
        <v>50</v>
      </c>
      <c r="K3" s="11" t="s">
        <v>46</v>
      </c>
      <c r="M3" t="s">
        <v>172</v>
      </c>
      <c r="Q3" t="s">
        <v>159</v>
      </c>
    </row>
    <row r="4" spans="1:18" x14ac:dyDescent="0.25">
      <c r="B4" t="s">
        <v>35</v>
      </c>
      <c r="C4" s="6" t="s">
        <v>152</v>
      </c>
      <c r="D4" s="6" t="s">
        <v>176</v>
      </c>
      <c r="E4">
        <v>1979</v>
      </c>
      <c r="F4" t="s">
        <v>22</v>
      </c>
      <c r="G4" t="s">
        <v>40</v>
      </c>
      <c r="I4" s="11" t="s">
        <v>48</v>
      </c>
      <c r="J4" s="11" t="s">
        <v>47</v>
      </c>
      <c r="K4" s="11" t="s">
        <v>46</v>
      </c>
      <c r="M4" t="s">
        <v>173</v>
      </c>
    </row>
    <row r="5" spans="1:18" x14ac:dyDescent="0.25">
      <c r="B5" t="s">
        <v>1</v>
      </c>
      <c r="C5" s="6" t="s">
        <v>153</v>
      </c>
      <c r="D5" s="6" t="s">
        <v>165</v>
      </c>
      <c r="E5">
        <v>1980</v>
      </c>
      <c r="F5" t="s">
        <v>22</v>
      </c>
      <c r="G5" t="s">
        <v>2</v>
      </c>
      <c r="I5" s="12" t="s">
        <v>119</v>
      </c>
      <c r="J5" s="11" t="s">
        <v>117</v>
      </c>
      <c r="K5" s="11" t="s">
        <v>116</v>
      </c>
    </row>
    <row r="6" spans="1:18" x14ac:dyDescent="0.25">
      <c r="B6" t="s">
        <v>0</v>
      </c>
      <c r="C6" s="6" t="s">
        <v>146</v>
      </c>
      <c r="D6" s="6" t="s">
        <v>166</v>
      </c>
      <c r="E6">
        <v>1981</v>
      </c>
      <c r="F6" t="s">
        <v>22</v>
      </c>
      <c r="G6" t="s">
        <v>41</v>
      </c>
      <c r="I6" s="12" t="s">
        <v>103</v>
      </c>
      <c r="J6" s="11" t="s">
        <v>104</v>
      </c>
      <c r="K6" s="11" t="s">
        <v>58</v>
      </c>
    </row>
    <row r="7" spans="1:18" x14ac:dyDescent="0.25">
      <c r="B7" t="s">
        <v>126</v>
      </c>
      <c r="C7" s="6" t="s">
        <v>143</v>
      </c>
      <c r="D7" s="6" t="s">
        <v>170</v>
      </c>
      <c r="E7">
        <v>1982</v>
      </c>
      <c r="F7" t="s">
        <v>22</v>
      </c>
      <c r="G7" t="s">
        <v>42</v>
      </c>
      <c r="I7" s="12" t="s">
        <v>105</v>
      </c>
      <c r="J7" s="11" t="s">
        <v>104</v>
      </c>
      <c r="K7" s="11" t="s">
        <v>58</v>
      </c>
    </row>
    <row r="8" spans="1:18" x14ac:dyDescent="0.25">
      <c r="B8" t="s">
        <v>19</v>
      </c>
      <c r="C8" s="6" t="s">
        <v>147</v>
      </c>
      <c r="D8" s="6" t="s">
        <v>167</v>
      </c>
      <c r="E8">
        <v>1983</v>
      </c>
      <c r="F8" t="s">
        <v>23</v>
      </c>
      <c r="I8" s="11" t="s">
        <v>53</v>
      </c>
      <c r="J8" s="11" t="s">
        <v>50</v>
      </c>
      <c r="K8" s="11" t="s">
        <v>46</v>
      </c>
    </row>
    <row r="9" spans="1:18" x14ac:dyDescent="0.25">
      <c r="B9" t="s">
        <v>21</v>
      </c>
      <c r="C9" s="6" t="s">
        <v>148</v>
      </c>
      <c r="D9" s="6" t="s">
        <v>168</v>
      </c>
      <c r="E9">
        <v>1984</v>
      </c>
      <c r="F9" t="s">
        <v>23</v>
      </c>
      <c r="I9" t="s">
        <v>87</v>
      </c>
      <c r="J9" t="s">
        <v>84</v>
      </c>
      <c r="K9" s="11" t="s">
        <v>83</v>
      </c>
    </row>
    <row r="10" spans="1:18" x14ac:dyDescent="0.25">
      <c r="B10" t="s">
        <v>20</v>
      </c>
      <c r="C10" s="6" t="s">
        <v>149</v>
      </c>
      <c r="D10" s="6" t="s">
        <v>169</v>
      </c>
      <c r="E10">
        <v>1985</v>
      </c>
      <c r="F10" t="s">
        <v>23</v>
      </c>
      <c r="I10" s="11" t="s">
        <v>61</v>
      </c>
      <c r="J10" s="11" t="s">
        <v>59</v>
      </c>
      <c r="K10" s="11" t="s">
        <v>46</v>
      </c>
    </row>
    <row r="11" spans="1:18" x14ac:dyDescent="0.25">
      <c r="E11">
        <v>1986</v>
      </c>
      <c r="F11" t="s">
        <v>23</v>
      </c>
      <c r="I11" s="18" t="s">
        <v>197</v>
      </c>
      <c r="J11" t="s">
        <v>196</v>
      </c>
      <c r="K11" s="11" t="s">
        <v>66</v>
      </c>
    </row>
    <row r="12" spans="1:18" x14ac:dyDescent="0.25">
      <c r="E12">
        <v>1987</v>
      </c>
      <c r="F12" t="s">
        <v>23</v>
      </c>
      <c r="I12" t="s">
        <v>198</v>
      </c>
      <c r="J12" t="s">
        <v>196</v>
      </c>
      <c r="K12" s="11" t="s">
        <v>66</v>
      </c>
    </row>
    <row r="13" spans="1:18" x14ac:dyDescent="0.25">
      <c r="E13">
        <v>1988</v>
      </c>
      <c r="F13" t="s">
        <v>23</v>
      </c>
      <c r="I13" t="s">
        <v>199</v>
      </c>
      <c r="J13" t="s">
        <v>196</v>
      </c>
      <c r="K13" s="11" t="s">
        <v>66</v>
      </c>
    </row>
    <row r="14" spans="1:18" x14ac:dyDescent="0.25">
      <c r="E14">
        <v>1989</v>
      </c>
      <c r="F14" t="s">
        <v>24</v>
      </c>
      <c r="I14" s="12" t="s">
        <v>129</v>
      </c>
      <c r="J14" s="11" t="s">
        <v>128</v>
      </c>
      <c r="K14" s="11" t="s">
        <v>124</v>
      </c>
    </row>
    <row r="15" spans="1:18" x14ac:dyDescent="0.25">
      <c r="E15">
        <v>1990</v>
      </c>
      <c r="F15" t="s">
        <v>24</v>
      </c>
      <c r="I15" s="12" t="s">
        <v>106</v>
      </c>
      <c r="J15" s="11" t="s">
        <v>104</v>
      </c>
      <c r="K15" s="11" t="s">
        <v>58</v>
      </c>
    </row>
    <row r="16" spans="1:18" x14ac:dyDescent="0.25">
      <c r="E16">
        <v>1991</v>
      </c>
      <c r="F16" t="s">
        <v>24</v>
      </c>
      <c r="I16" s="12" t="s">
        <v>114</v>
      </c>
      <c r="J16" s="11" t="s">
        <v>113</v>
      </c>
      <c r="K16" s="11" t="s">
        <v>58</v>
      </c>
    </row>
    <row r="17" spans="5:11" x14ac:dyDescent="0.25">
      <c r="E17">
        <v>1992</v>
      </c>
      <c r="F17" t="s">
        <v>24</v>
      </c>
      <c r="I17" s="12" t="s">
        <v>131</v>
      </c>
      <c r="J17" s="11" t="s">
        <v>130</v>
      </c>
      <c r="K17" s="11" t="s">
        <v>124</v>
      </c>
    </row>
    <row r="18" spans="5:11" x14ac:dyDescent="0.25">
      <c r="E18">
        <v>1993</v>
      </c>
      <c r="F18" t="s">
        <v>25</v>
      </c>
      <c r="I18" s="12" t="s">
        <v>135</v>
      </c>
      <c r="J18" s="11" t="s">
        <v>130</v>
      </c>
      <c r="K18" s="11" t="s">
        <v>124</v>
      </c>
    </row>
    <row r="19" spans="5:11" x14ac:dyDescent="0.25">
      <c r="E19">
        <v>1994</v>
      </c>
      <c r="F19" t="s">
        <v>25</v>
      </c>
      <c r="I19" s="12" t="s">
        <v>107</v>
      </c>
      <c r="J19" s="11" t="s">
        <v>104</v>
      </c>
      <c r="K19" s="11" t="s">
        <v>58</v>
      </c>
    </row>
    <row r="20" spans="5:11" x14ac:dyDescent="0.25">
      <c r="E20">
        <v>1995</v>
      </c>
      <c r="F20" t="s">
        <v>25</v>
      </c>
      <c r="I20" s="11" t="s">
        <v>45</v>
      </c>
      <c r="J20" s="13" t="s">
        <v>65</v>
      </c>
      <c r="K20" s="11" t="s">
        <v>46</v>
      </c>
    </row>
    <row r="21" spans="5:11" x14ac:dyDescent="0.25">
      <c r="E21">
        <v>1996</v>
      </c>
      <c r="F21" t="s">
        <v>25</v>
      </c>
      <c r="I21" s="12" t="s">
        <v>108</v>
      </c>
      <c r="J21" s="11" t="s">
        <v>104</v>
      </c>
      <c r="K21" s="11" t="s">
        <v>58</v>
      </c>
    </row>
    <row r="22" spans="5:11" x14ac:dyDescent="0.25">
      <c r="E22">
        <v>1997</v>
      </c>
      <c r="F22" t="s">
        <v>26</v>
      </c>
      <c r="I22" s="11" t="s">
        <v>81</v>
      </c>
      <c r="J22" s="11" t="s">
        <v>80</v>
      </c>
      <c r="K22" s="11" t="s">
        <v>66</v>
      </c>
    </row>
    <row r="23" spans="5:11" x14ac:dyDescent="0.25">
      <c r="E23">
        <v>1998</v>
      </c>
      <c r="F23" t="s">
        <v>26</v>
      </c>
      <c r="I23" s="11" t="s">
        <v>101</v>
      </c>
      <c r="J23" t="s">
        <v>100</v>
      </c>
      <c r="K23" s="11" t="s">
        <v>58</v>
      </c>
    </row>
    <row r="24" spans="5:11" x14ac:dyDescent="0.25">
      <c r="E24">
        <v>1999</v>
      </c>
      <c r="F24" t="s">
        <v>26</v>
      </c>
      <c r="I24" s="12" t="s">
        <v>36</v>
      </c>
      <c r="J24" s="11" t="s">
        <v>125</v>
      </c>
      <c r="K24" s="11" t="s">
        <v>124</v>
      </c>
    </row>
    <row r="25" spans="5:11" x14ac:dyDescent="0.25">
      <c r="E25">
        <v>2000</v>
      </c>
      <c r="F25" t="s">
        <v>26</v>
      </c>
      <c r="I25" s="11" t="s">
        <v>55</v>
      </c>
      <c r="J25" s="11" t="s">
        <v>47</v>
      </c>
      <c r="K25" s="11" t="s">
        <v>46</v>
      </c>
    </row>
    <row r="26" spans="5:11" x14ac:dyDescent="0.25">
      <c r="E26">
        <v>2001</v>
      </c>
      <c r="F26" t="s">
        <v>27</v>
      </c>
      <c r="I26" s="11" t="s">
        <v>91</v>
      </c>
      <c r="J26" t="s">
        <v>88</v>
      </c>
      <c r="K26" s="11" t="s">
        <v>83</v>
      </c>
    </row>
    <row r="27" spans="5:11" x14ac:dyDescent="0.25">
      <c r="E27">
        <v>2002</v>
      </c>
      <c r="F27" t="s">
        <v>27</v>
      </c>
      <c r="I27" s="11" t="s">
        <v>102</v>
      </c>
      <c r="J27" t="s">
        <v>100</v>
      </c>
      <c r="K27" s="11" t="s">
        <v>58</v>
      </c>
    </row>
    <row r="28" spans="5:11" x14ac:dyDescent="0.25">
      <c r="E28">
        <v>2003</v>
      </c>
      <c r="F28" t="s">
        <v>27</v>
      </c>
      <c r="I28" s="12" t="s">
        <v>115</v>
      </c>
      <c r="J28" s="11" t="s">
        <v>113</v>
      </c>
      <c r="K28" s="11" t="s">
        <v>58</v>
      </c>
    </row>
    <row r="29" spans="5:11" x14ac:dyDescent="0.25">
      <c r="E29">
        <v>2004</v>
      </c>
      <c r="F29" t="s">
        <v>27</v>
      </c>
      <c r="I29" s="11" t="s">
        <v>77</v>
      </c>
      <c r="J29" s="11" t="s">
        <v>76</v>
      </c>
      <c r="K29" s="11" t="s">
        <v>66</v>
      </c>
    </row>
    <row r="30" spans="5:11" x14ac:dyDescent="0.25">
      <c r="E30">
        <v>2005</v>
      </c>
      <c r="F30" t="s">
        <v>28</v>
      </c>
      <c r="I30" s="11" t="s">
        <v>82</v>
      </c>
      <c r="J30" s="11" t="s">
        <v>80</v>
      </c>
      <c r="K30" s="11" t="s">
        <v>66</v>
      </c>
    </row>
    <row r="31" spans="5:11" x14ac:dyDescent="0.25">
      <c r="E31">
        <v>2006</v>
      </c>
      <c r="F31" t="s">
        <v>28</v>
      </c>
      <c r="I31" s="12" t="s">
        <v>109</v>
      </c>
      <c r="J31" s="11" t="s">
        <v>104</v>
      </c>
      <c r="K31" s="11" t="s">
        <v>58</v>
      </c>
    </row>
    <row r="32" spans="5:11" x14ac:dyDescent="0.25">
      <c r="E32">
        <v>2007</v>
      </c>
      <c r="F32" t="s">
        <v>28</v>
      </c>
      <c r="I32" t="s">
        <v>72</v>
      </c>
      <c r="J32" s="11" t="s">
        <v>71</v>
      </c>
      <c r="K32" s="11" t="s">
        <v>66</v>
      </c>
    </row>
    <row r="33" spans="5:11" x14ac:dyDescent="0.25">
      <c r="E33">
        <v>2008</v>
      </c>
      <c r="F33" t="s">
        <v>28</v>
      </c>
      <c r="I33" s="11" t="s">
        <v>74</v>
      </c>
      <c r="J33" s="11" t="s">
        <v>71</v>
      </c>
      <c r="K33" s="11" t="s">
        <v>66</v>
      </c>
    </row>
    <row r="34" spans="5:11" x14ac:dyDescent="0.25">
      <c r="E34">
        <v>2009</v>
      </c>
      <c r="F34" t="s">
        <v>29</v>
      </c>
      <c r="I34" s="11" t="s">
        <v>73</v>
      </c>
      <c r="J34" s="11" t="s">
        <v>71</v>
      </c>
      <c r="K34" s="11" t="s">
        <v>66</v>
      </c>
    </row>
    <row r="35" spans="5:11" x14ac:dyDescent="0.25">
      <c r="E35">
        <v>2010</v>
      </c>
      <c r="F35" t="s">
        <v>29</v>
      </c>
      <c r="I35" s="11" t="s">
        <v>78</v>
      </c>
      <c r="J35" s="11" t="s">
        <v>76</v>
      </c>
      <c r="K35" s="11" t="s">
        <v>66</v>
      </c>
    </row>
    <row r="36" spans="5:11" x14ac:dyDescent="0.25">
      <c r="E36">
        <v>2011</v>
      </c>
      <c r="F36" t="s">
        <v>29</v>
      </c>
      <c r="I36" t="s">
        <v>69</v>
      </c>
      <c r="J36" s="11" t="s">
        <v>67</v>
      </c>
      <c r="K36" s="11" t="s">
        <v>66</v>
      </c>
    </row>
    <row r="37" spans="5:11" x14ac:dyDescent="0.25">
      <c r="E37">
        <v>2012</v>
      </c>
      <c r="F37" t="s">
        <v>29</v>
      </c>
      <c r="I37" t="s">
        <v>70</v>
      </c>
      <c r="J37" s="11" t="s">
        <v>67</v>
      </c>
      <c r="K37" s="11" t="s">
        <v>66</v>
      </c>
    </row>
    <row r="38" spans="5:11" x14ac:dyDescent="0.25">
      <c r="E38">
        <v>2013</v>
      </c>
      <c r="F38" t="s">
        <v>30</v>
      </c>
      <c r="I38" s="12" t="s">
        <v>126</v>
      </c>
      <c r="J38" s="11" t="s">
        <v>125</v>
      </c>
      <c r="K38" s="11" t="s">
        <v>124</v>
      </c>
    </row>
    <row r="39" spans="5:11" x14ac:dyDescent="0.25">
      <c r="E39">
        <v>2014</v>
      </c>
      <c r="F39" t="s">
        <v>30</v>
      </c>
      <c r="I39" s="12" t="s">
        <v>126</v>
      </c>
      <c r="J39" s="11" t="s">
        <v>125</v>
      </c>
      <c r="K39" s="11" t="s">
        <v>124</v>
      </c>
    </row>
    <row r="40" spans="5:11" x14ac:dyDescent="0.25">
      <c r="E40">
        <v>2015</v>
      </c>
      <c r="F40" t="s">
        <v>30</v>
      </c>
      <c r="I40" s="12" t="s">
        <v>118</v>
      </c>
      <c r="J40" s="11" t="s">
        <v>117</v>
      </c>
      <c r="K40" s="11" t="s">
        <v>116</v>
      </c>
    </row>
    <row r="41" spans="5:11" x14ac:dyDescent="0.25">
      <c r="E41">
        <v>2016</v>
      </c>
      <c r="F41" t="s">
        <v>30</v>
      </c>
      <c r="I41" s="12" t="s">
        <v>110</v>
      </c>
      <c r="J41" s="11" t="s">
        <v>104</v>
      </c>
      <c r="K41" s="11" t="s">
        <v>58</v>
      </c>
    </row>
    <row r="42" spans="5:11" x14ac:dyDescent="0.25">
      <c r="E42">
        <v>2017</v>
      </c>
      <c r="F42" t="s">
        <v>31</v>
      </c>
      <c r="I42" s="11" t="s">
        <v>57</v>
      </c>
      <c r="J42" s="11" t="s">
        <v>49</v>
      </c>
      <c r="K42" s="11" t="s">
        <v>46</v>
      </c>
    </row>
    <row r="43" spans="5:11" x14ac:dyDescent="0.25">
      <c r="E43">
        <v>2018</v>
      </c>
      <c r="F43" t="s">
        <v>31</v>
      </c>
      <c r="I43" s="11" t="s">
        <v>192</v>
      </c>
      <c r="J43" t="s">
        <v>88</v>
      </c>
      <c r="K43" s="11" t="s">
        <v>83</v>
      </c>
    </row>
    <row r="44" spans="5:11" x14ac:dyDescent="0.25">
      <c r="E44">
        <v>2019</v>
      </c>
      <c r="F44" t="s">
        <v>31</v>
      </c>
      <c r="I44" t="s">
        <v>136</v>
      </c>
      <c r="J44" t="s">
        <v>84</v>
      </c>
      <c r="K44" s="11" t="s">
        <v>83</v>
      </c>
    </row>
    <row r="45" spans="5:11" x14ac:dyDescent="0.25">
      <c r="E45">
        <v>2020</v>
      </c>
      <c r="F45" t="s">
        <v>31</v>
      </c>
      <c r="I45" s="11" t="s">
        <v>134</v>
      </c>
      <c r="J45" s="13" t="s">
        <v>65</v>
      </c>
      <c r="K45" s="11" t="s">
        <v>46</v>
      </c>
    </row>
    <row r="46" spans="5:11" x14ac:dyDescent="0.25">
      <c r="E46">
        <v>2021</v>
      </c>
      <c r="F46" t="s">
        <v>32</v>
      </c>
      <c r="I46" s="11" t="s">
        <v>63</v>
      </c>
      <c r="J46" s="11" t="s">
        <v>62</v>
      </c>
      <c r="K46" s="11" t="s">
        <v>46</v>
      </c>
    </row>
    <row r="47" spans="5:11" x14ac:dyDescent="0.25">
      <c r="E47">
        <v>2022</v>
      </c>
      <c r="F47" t="s">
        <v>32</v>
      </c>
      <c r="I47" s="12" t="s">
        <v>111</v>
      </c>
      <c r="J47" s="11" t="s">
        <v>104</v>
      </c>
      <c r="K47" s="11" t="s">
        <v>58</v>
      </c>
    </row>
    <row r="48" spans="5:11" x14ac:dyDescent="0.25">
      <c r="E48">
        <v>2023</v>
      </c>
      <c r="F48" t="s">
        <v>32</v>
      </c>
      <c r="I48" s="11" t="s">
        <v>85</v>
      </c>
      <c r="J48" t="s">
        <v>84</v>
      </c>
      <c r="K48" s="11" t="s">
        <v>83</v>
      </c>
    </row>
    <row r="49" spans="5:11" x14ac:dyDescent="0.25">
      <c r="E49">
        <v>2024</v>
      </c>
      <c r="F49" t="s">
        <v>32</v>
      </c>
      <c r="I49" t="s">
        <v>68</v>
      </c>
      <c r="J49" s="11" t="s">
        <v>67</v>
      </c>
      <c r="K49" s="11" t="s">
        <v>66</v>
      </c>
    </row>
    <row r="50" spans="5:11" x14ac:dyDescent="0.25">
      <c r="E50">
        <v>2025</v>
      </c>
      <c r="F50" t="s">
        <v>33</v>
      </c>
      <c r="I50" s="12" t="s">
        <v>112</v>
      </c>
      <c r="J50" s="11" t="s">
        <v>104</v>
      </c>
      <c r="K50" s="11" t="s">
        <v>58</v>
      </c>
    </row>
    <row r="51" spans="5:11" x14ac:dyDescent="0.25">
      <c r="I51" s="11" t="s">
        <v>96</v>
      </c>
      <c r="J51" s="11" t="s">
        <v>95</v>
      </c>
      <c r="K51" s="11" t="s">
        <v>83</v>
      </c>
    </row>
    <row r="52" spans="5:11" x14ac:dyDescent="0.25">
      <c r="I52" s="12" t="s">
        <v>122</v>
      </c>
      <c r="J52" s="11" t="s">
        <v>121</v>
      </c>
      <c r="K52" s="11" t="s">
        <v>116</v>
      </c>
    </row>
    <row r="53" spans="5:11" x14ac:dyDescent="0.25">
      <c r="I53" s="11" t="s">
        <v>161</v>
      </c>
      <c r="J53" s="11" t="s">
        <v>162</v>
      </c>
      <c r="K53" s="11" t="s">
        <v>46</v>
      </c>
    </row>
    <row r="54" spans="5:11" x14ac:dyDescent="0.25">
      <c r="I54" s="12" t="s">
        <v>120</v>
      </c>
      <c r="J54" s="11" t="s">
        <v>117</v>
      </c>
      <c r="K54" s="11" t="s">
        <v>116</v>
      </c>
    </row>
    <row r="55" spans="5:11" x14ac:dyDescent="0.25">
      <c r="I55" s="11" t="s">
        <v>56</v>
      </c>
      <c r="J55" s="11" t="s">
        <v>47</v>
      </c>
      <c r="K55" s="11" t="s">
        <v>46</v>
      </c>
    </row>
    <row r="56" spans="5:11" x14ac:dyDescent="0.25">
      <c r="I56" s="12" t="s">
        <v>127</v>
      </c>
      <c r="J56" s="11" t="s">
        <v>125</v>
      </c>
      <c r="K56" s="11" t="s">
        <v>124</v>
      </c>
    </row>
    <row r="57" spans="5:11" x14ac:dyDescent="0.25">
      <c r="I57" s="13" t="s">
        <v>60</v>
      </c>
      <c r="J57" s="11" t="s">
        <v>59</v>
      </c>
      <c r="K57" s="11" t="s">
        <v>46</v>
      </c>
    </row>
    <row r="58" spans="5:11" x14ac:dyDescent="0.25">
      <c r="I58" s="11" t="s">
        <v>90</v>
      </c>
      <c r="J58" t="s">
        <v>88</v>
      </c>
      <c r="K58" s="11" t="s">
        <v>83</v>
      </c>
    </row>
    <row r="59" spans="5:11" x14ac:dyDescent="0.25">
      <c r="I59" s="11" t="s">
        <v>89</v>
      </c>
      <c r="J59" t="s">
        <v>88</v>
      </c>
      <c r="K59" s="11" t="s">
        <v>83</v>
      </c>
    </row>
    <row r="60" spans="5:11" x14ac:dyDescent="0.25">
      <c r="I60" s="11" t="s">
        <v>54</v>
      </c>
      <c r="J60" s="11" t="s">
        <v>47</v>
      </c>
      <c r="K60" s="11" t="s">
        <v>46</v>
      </c>
    </row>
    <row r="61" spans="5:11" x14ac:dyDescent="0.25">
      <c r="I61" s="11" t="s">
        <v>98</v>
      </c>
      <c r="J61" s="11" t="s">
        <v>97</v>
      </c>
      <c r="K61" s="11" t="s">
        <v>58</v>
      </c>
    </row>
    <row r="62" spans="5:11" x14ac:dyDescent="0.25">
      <c r="I62" s="11" t="s">
        <v>75</v>
      </c>
      <c r="J62" s="11" t="s">
        <v>71</v>
      </c>
      <c r="K62" s="11" t="s">
        <v>66</v>
      </c>
    </row>
    <row r="63" spans="5:11" x14ac:dyDescent="0.25">
      <c r="I63" s="11" t="s">
        <v>133</v>
      </c>
      <c r="J63" s="13" t="s">
        <v>65</v>
      </c>
      <c r="K63" s="11" t="s">
        <v>46</v>
      </c>
    </row>
    <row r="64" spans="5:11" x14ac:dyDescent="0.25">
      <c r="I64" s="12" t="s">
        <v>132</v>
      </c>
      <c r="J64" s="11" t="s">
        <v>130</v>
      </c>
      <c r="K64" s="11" t="s">
        <v>124</v>
      </c>
    </row>
    <row r="65" spans="9:11" x14ac:dyDescent="0.25">
      <c r="I65" s="11" t="s">
        <v>94</v>
      </c>
      <c r="J65" t="s">
        <v>92</v>
      </c>
      <c r="K65" s="11" t="s">
        <v>83</v>
      </c>
    </row>
    <row r="66" spans="9:11" x14ac:dyDescent="0.25">
      <c r="I66" s="11" t="s">
        <v>160</v>
      </c>
      <c r="J66" s="11" t="s">
        <v>162</v>
      </c>
      <c r="K66" s="11" t="s">
        <v>46</v>
      </c>
    </row>
    <row r="67" spans="9:11" x14ac:dyDescent="0.25">
      <c r="I67" s="11" t="s">
        <v>93</v>
      </c>
      <c r="J67" t="s">
        <v>92</v>
      </c>
      <c r="K67" s="11" t="s">
        <v>83</v>
      </c>
    </row>
    <row r="68" spans="9:11" x14ac:dyDescent="0.25">
      <c r="I68" t="s">
        <v>79</v>
      </c>
      <c r="J68" s="11" t="s">
        <v>76</v>
      </c>
      <c r="K68" s="11" t="s">
        <v>66</v>
      </c>
    </row>
    <row r="69" spans="9:11" x14ac:dyDescent="0.25">
      <c r="I69" t="s">
        <v>64</v>
      </c>
      <c r="J69" s="11" t="s">
        <v>62</v>
      </c>
      <c r="K69" s="11" t="s">
        <v>46</v>
      </c>
    </row>
    <row r="70" spans="9:11" x14ac:dyDescent="0.25">
      <c r="I70" s="12" t="s">
        <v>123</v>
      </c>
      <c r="J70" s="11" t="s">
        <v>121</v>
      </c>
      <c r="K70" s="11" t="s">
        <v>116</v>
      </c>
    </row>
    <row r="71" spans="9:11" x14ac:dyDescent="0.25">
      <c r="I71" t="s">
        <v>99</v>
      </c>
      <c r="J71" s="11" t="s">
        <v>97</v>
      </c>
      <c r="K71" s="11" t="s">
        <v>58</v>
      </c>
    </row>
    <row r="72" spans="9:11" x14ac:dyDescent="0.25">
      <c r="I72" s="11" t="s">
        <v>86</v>
      </c>
      <c r="J72" t="s">
        <v>84</v>
      </c>
      <c r="K72" s="11" t="s">
        <v>83</v>
      </c>
    </row>
  </sheetData>
  <autoFilter ref="A1:R68" xr:uid="{5E5E796A-3A00-4DED-B226-11B2C2919DF2}"/>
  <sortState xmlns:xlrd2="http://schemas.microsoft.com/office/spreadsheetml/2017/richdata2" ref="I2:K72">
    <sortCondition ref="I2:I72"/>
  </sortState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Moro</dc:creator>
  <cp:lastModifiedBy>Vinícius Moro</cp:lastModifiedBy>
  <dcterms:created xsi:type="dcterms:W3CDTF">2025-11-26T09:17:32Z</dcterms:created>
  <dcterms:modified xsi:type="dcterms:W3CDTF">2025-11-26T20:13:48Z</dcterms:modified>
</cp:coreProperties>
</file>